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00" yWindow="720" windowWidth="18555" windowHeight="7470" firstSheet="14" activeTab="17"/>
  </bookViews>
  <sheets>
    <sheet name="CLARREO" sheetId="3" r:id="rId1"/>
    <sheet name="SMAP" sheetId="7" r:id="rId2"/>
    <sheet name="ICESAT-II" sheetId="4" r:id="rId3"/>
    <sheet name="DESDYNI" sheetId="5" r:id="rId4"/>
    <sheet name="GPSRO" sheetId="19" r:id="rId5"/>
    <sheet name="HYSPIRI" sheetId="1" r:id="rId6"/>
    <sheet name="ASCENDS" sheetId="9" r:id="rId7"/>
    <sheet name="SWOT" sheetId="11" r:id="rId8"/>
    <sheet name="GEO-CAPE" sheetId="10" r:id="rId9"/>
    <sheet name="ACE" sheetId="8" r:id="rId10"/>
    <sheet name="XOVWM" sheetId="20" r:id="rId11"/>
    <sheet name="PATH" sheetId="18" r:id="rId12"/>
    <sheet name="SCLP" sheetId="21" r:id="rId13"/>
    <sheet name="GACM" sheetId="17" r:id="rId14"/>
    <sheet name="3DWINDS" sheetId="22" r:id="rId15"/>
    <sheet name="GRACE-II" sheetId="2" r:id="rId16"/>
    <sheet name="LIST" sheetId="23" r:id="rId17"/>
    <sheet name="New results" sheetId="16" r:id="rId18"/>
    <sheet name="Summary" sheetId="6" r:id="rId19"/>
    <sheet name="Sheet1" sheetId="12" r:id="rId20"/>
    <sheet name="Sheet2" sheetId="13" r:id="rId21"/>
    <sheet name="Mission costs" sheetId="14" r:id="rId22"/>
    <sheet name="Sheet3" sheetId="15" r:id="rId23"/>
  </sheets>
  <calcPr calcId="145621"/>
  <fileRecoveryPr repairLoad="1"/>
</workbook>
</file>

<file path=xl/calcChain.xml><?xml version="1.0" encoding="utf-8"?>
<calcChain xmlns="http://schemas.openxmlformats.org/spreadsheetml/2006/main">
  <c r="N68" i="16" l="1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67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45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2" i="16"/>
  <c r="G4" i="14"/>
  <c r="G3" i="14"/>
  <c r="G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2" i="14"/>
  <c r="C99" i="16"/>
  <c r="D99" i="16"/>
  <c r="E99" i="16"/>
  <c r="F99" i="16"/>
  <c r="G99" i="16"/>
  <c r="C97" i="16"/>
  <c r="D97" i="16"/>
  <c r="E97" i="16"/>
  <c r="F97" i="16"/>
  <c r="G97" i="16"/>
  <c r="C94" i="16"/>
  <c r="D94" i="16"/>
  <c r="E94" i="16"/>
  <c r="F94" i="16"/>
  <c r="G94" i="16"/>
  <c r="C88" i="16"/>
  <c r="D88" i="16"/>
  <c r="E88" i="16"/>
  <c r="F88" i="16"/>
  <c r="G88" i="16"/>
  <c r="C95" i="16"/>
  <c r="D95" i="16"/>
  <c r="E95" i="16"/>
  <c r="F95" i="16"/>
  <c r="G95" i="16"/>
  <c r="C89" i="16"/>
  <c r="D89" i="16"/>
  <c r="E89" i="16"/>
  <c r="F89" i="16"/>
  <c r="G89" i="16"/>
  <c r="C101" i="16"/>
  <c r="D101" i="16"/>
  <c r="E101" i="16"/>
  <c r="F101" i="16"/>
  <c r="G101" i="16"/>
  <c r="C92" i="16"/>
  <c r="D92" i="16"/>
  <c r="E92" i="16"/>
  <c r="F92" i="16"/>
  <c r="G92" i="16"/>
  <c r="C93" i="16"/>
  <c r="D93" i="16"/>
  <c r="E93" i="16"/>
  <c r="F93" i="16"/>
  <c r="G93" i="16"/>
  <c r="C90" i="16"/>
  <c r="D90" i="16"/>
  <c r="E90" i="16"/>
  <c r="F90" i="16"/>
  <c r="G90" i="16"/>
  <c r="C103" i="16"/>
  <c r="D103" i="16"/>
  <c r="E103" i="16"/>
  <c r="F103" i="16"/>
  <c r="G103" i="16"/>
  <c r="C102" i="16"/>
  <c r="D102" i="16"/>
  <c r="E102" i="16"/>
  <c r="F102" i="16"/>
  <c r="G102" i="16"/>
  <c r="C98" i="16"/>
  <c r="D98" i="16"/>
  <c r="E98" i="16"/>
  <c r="F98" i="16"/>
  <c r="G98" i="16"/>
  <c r="C91" i="16"/>
  <c r="D91" i="16"/>
  <c r="E91" i="16"/>
  <c r="F91" i="16"/>
  <c r="G91" i="16"/>
  <c r="C104" i="16"/>
  <c r="D104" i="16"/>
  <c r="E104" i="16"/>
  <c r="F104" i="16"/>
  <c r="G104" i="16"/>
  <c r="C96" i="16"/>
  <c r="D96" i="16"/>
  <c r="E96" i="16"/>
  <c r="F96" i="16"/>
  <c r="G96" i="16"/>
  <c r="C100" i="16"/>
  <c r="D100" i="16"/>
  <c r="E100" i="16"/>
  <c r="F100" i="16"/>
  <c r="G100" i="16"/>
  <c r="B97" i="16"/>
  <c r="I97" i="16" s="1"/>
  <c r="B94" i="16"/>
  <c r="B88" i="16"/>
  <c r="I88" i="16" s="1"/>
  <c r="B95" i="16"/>
  <c r="I95" i="16" s="1"/>
  <c r="B89" i="16"/>
  <c r="B101" i="16"/>
  <c r="B92" i="16"/>
  <c r="B93" i="16"/>
  <c r="I93" i="16" s="1"/>
  <c r="B90" i="16"/>
  <c r="B103" i="16"/>
  <c r="B102" i="16"/>
  <c r="B98" i="16"/>
  <c r="B91" i="16"/>
  <c r="B104" i="16"/>
  <c r="I104" i="16" s="1"/>
  <c r="B96" i="16"/>
  <c r="B100" i="16"/>
  <c r="B99" i="16"/>
  <c r="I99" i="16" s="1"/>
  <c r="I94" i="16"/>
  <c r="I101" i="16"/>
  <c r="I103" i="16"/>
  <c r="C18" i="16"/>
  <c r="D18" i="16"/>
  <c r="E18" i="16"/>
  <c r="F18" i="16"/>
  <c r="G18" i="16"/>
  <c r="B18" i="16"/>
  <c r="K8" i="23"/>
  <c r="H8" i="23"/>
  <c r="C16" i="16"/>
  <c r="D16" i="16"/>
  <c r="E16" i="16"/>
  <c r="F16" i="16"/>
  <c r="G16" i="16"/>
  <c r="B16" i="16"/>
  <c r="K7" i="22"/>
  <c r="H7" i="22"/>
  <c r="C14" i="16"/>
  <c r="D14" i="16"/>
  <c r="E14" i="16"/>
  <c r="F14" i="16"/>
  <c r="G14" i="16"/>
  <c r="B14" i="16"/>
  <c r="K7" i="21"/>
  <c r="H7" i="21"/>
  <c r="C12" i="16"/>
  <c r="D12" i="16"/>
  <c r="E12" i="16"/>
  <c r="F12" i="16"/>
  <c r="G12" i="16"/>
  <c r="B12" i="16"/>
  <c r="C11" i="16"/>
  <c r="D11" i="16"/>
  <c r="E11" i="16"/>
  <c r="F11" i="16"/>
  <c r="G11" i="16"/>
  <c r="B11" i="16"/>
  <c r="K8" i="20"/>
  <c r="H8" i="20"/>
  <c r="C9" i="16"/>
  <c r="D9" i="16"/>
  <c r="E9" i="16"/>
  <c r="F9" i="16"/>
  <c r="G9" i="16"/>
  <c r="B9" i="16"/>
  <c r="K8" i="11"/>
  <c r="H8" i="11"/>
  <c r="I100" i="16" l="1"/>
  <c r="I98" i="16"/>
  <c r="I96" i="16"/>
  <c r="I91" i="16"/>
  <c r="I102" i="16"/>
  <c r="I90" i="16"/>
  <c r="I92" i="16"/>
  <c r="I89" i="16"/>
  <c r="H99" i="16"/>
  <c r="H97" i="16"/>
  <c r="H94" i="16"/>
  <c r="H88" i="16"/>
  <c r="H95" i="16"/>
  <c r="H89" i="16"/>
  <c r="H101" i="16"/>
  <c r="H92" i="16"/>
  <c r="H93" i="16"/>
  <c r="H90" i="16"/>
  <c r="H103" i="16"/>
  <c r="H102" i="16"/>
  <c r="H98" i="16"/>
  <c r="H91" i="16"/>
  <c r="H104" i="16"/>
  <c r="H96" i="16"/>
  <c r="H100" i="16"/>
  <c r="C8" i="16"/>
  <c r="D8" i="16"/>
  <c r="E8" i="16"/>
  <c r="F8" i="16"/>
  <c r="G8" i="16"/>
  <c r="B8" i="16"/>
  <c r="C5" i="16" l="1"/>
  <c r="D5" i="16"/>
  <c r="E5" i="16"/>
  <c r="F5" i="16"/>
  <c r="G5" i="16"/>
  <c r="B5" i="16"/>
  <c r="C17" i="16"/>
  <c r="D17" i="16"/>
  <c r="E17" i="16"/>
  <c r="F17" i="16"/>
  <c r="G17" i="16"/>
  <c r="B17" i="16"/>
  <c r="C7" i="16"/>
  <c r="D7" i="16"/>
  <c r="E7" i="16"/>
  <c r="F7" i="16"/>
  <c r="G7" i="16"/>
  <c r="B7" i="16"/>
  <c r="C2" i="16"/>
  <c r="D2" i="16"/>
  <c r="E2" i="16"/>
  <c r="F2" i="16"/>
  <c r="G2" i="16"/>
  <c r="B2" i="16"/>
  <c r="C3" i="16"/>
  <c r="D3" i="16"/>
  <c r="E3" i="16"/>
  <c r="F3" i="16"/>
  <c r="G3" i="16"/>
  <c r="I3" i="16" s="1"/>
  <c r="B3" i="16"/>
  <c r="C6" i="16"/>
  <c r="D6" i="16"/>
  <c r="E6" i="16"/>
  <c r="F6" i="16"/>
  <c r="G6" i="16"/>
  <c r="B6" i="16"/>
  <c r="H6" i="16" s="1"/>
  <c r="K7" i="19"/>
  <c r="H7" i="19"/>
  <c r="C4" i="16"/>
  <c r="D4" i="16"/>
  <c r="E4" i="16"/>
  <c r="F4" i="16"/>
  <c r="G4" i="16"/>
  <c r="B4" i="16"/>
  <c r="C13" i="16"/>
  <c r="D13" i="16"/>
  <c r="E13" i="16"/>
  <c r="F13" i="16"/>
  <c r="G13" i="16"/>
  <c r="B13" i="16"/>
  <c r="K7" i="18"/>
  <c r="H7" i="18"/>
  <c r="C15" i="16"/>
  <c r="D15" i="16"/>
  <c r="E15" i="16"/>
  <c r="F15" i="16"/>
  <c r="G15" i="16"/>
  <c r="B15" i="16"/>
  <c r="K8" i="17"/>
  <c r="H8" i="17"/>
  <c r="C10" i="16"/>
  <c r="D10" i="16"/>
  <c r="E10" i="16"/>
  <c r="F10" i="16"/>
  <c r="G10" i="16"/>
  <c r="B10" i="16"/>
  <c r="K8" i="10"/>
  <c r="H8" i="10"/>
  <c r="I5" i="16"/>
  <c r="I6" i="16"/>
  <c r="I7" i="16"/>
  <c r="I8" i="16"/>
  <c r="I9" i="16"/>
  <c r="I11" i="16"/>
  <c r="I12" i="16"/>
  <c r="I14" i="16"/>
  <c r="I15" i="16"/>
  <c r="I16" i="16"/>
  <c r="I17" i="16"/>
  <c r="I18" i="16"/>
  <c r="I2" i="16"/>
  <c r="H3" i="16"/>
  <c r="H4" i="16"/>
  <c r="H5" i="16"/>
  <c r="H7" i="16"/>
  <c r="H8" i="16"/>
  <c r="H9" i="16"/>
  <c r="H11" i="16"/>
  <c r="H12" i="16"/>
  <c r="H13" i="16"/>
  <c r="H14" i="16"/>
  <c r="H15" i="16"/>
  <c r="H16" i="16"/>
  <c r="H18" i="16"/>
  <c r="K5" i="1"/>
  <c r="H5" i="1"/>
  <c r="H17" i="16" l="1"/>
  <c r="H2" i="16"/>
  <c r="I4" i="16"/>
  <c r="I13" i="16"/>
  <c r="H10" i="16"/>
  <c r="I10" i="16"/>
  <c r="B20" i="12" l="1"/>
  <c r="H20" i="12" s="1"/>
  <c r="C20" i="12"/>
  <c r="D20" i="12"/>
  <c r="E20" i="12"/>
  <c r="F20" i="12"/>
  <c r="G20" i="12"/>
  <c r="B21" i="12"/>
  <c r="H21" i="12" s="1"/>
  <c r="C21" i="12"/>
  <c r="D21" i="12"/>
  <c r="E21" i="12"/>
  <c r="F21" i="12"/>
  <c r="G21" i="12"/>
  <c r="B22" i="12"/>
  <c r="H22" i="12" s="1"/>
  <c r="C22" i="12"/>
  <c r="D22" i="12"/>
  <c r="E22" i="12"/>
  <c r="F22" i="12"/>
  <c r="G22" i="12"/>
  <c r="B23" i="12"/>
  <c r="H23" i="12" s="1"/>
  <c r="C23" i="12"/>
  <c r="D23" i="12"/>
  <c r="E23" i="12"/>
  <c r="F23" i="12"/>
  <c r="G23" i="12"/>
  <c r="B24" i="12"/>
  <c r="H24" i="12" s="1"/>
  <c r="C24" i="12"/>
  <c r="D24" i="12"/>
  <c r="E24" i="12"/>
  <c r="F24" i="12"/>
  <c r="G24" i="12"/>
  <c r="B25" i="12"/>
  <c r="H25" i="12" s="1"/>
  <c r="C25" i="12"/>
  <c r="D25" i="12"/>
  <c r="E25" i="12"/>
  <c r="F25" i="12"/>
  <c r="G25" i="12"/>
  <c r="B26" i="12"/>
  <c r="H26" i="12" s="1"/>
  <c r="C26" i="12"/>
  <c r="D26" i="12"/>
  <c r="E26" i="12"/>
  <c r="F26" i="12"/>
  <c r="G26" i="12"/>
  <c r="B27" i="12"/>
  <c r="H27" i="12" s="1"/>
  <c r="C27" i="12"/>
  <c r="D27" i="12"/>
  <c r="E27" i="12"/>
  <c r="F27" i="12"/>
  <c r="G27" i="12"/>
  <c r="B28" i="12"/>
  <c r="H28" i="12" s="1"/>
  <c r="C28" i="12"/>
  <c r="D28" i="12"/>
  <c r="E28" i="12"/>
  <c r="F28" i="12"/>
  <c r="G28" i="12"/>
  <c r="B29" i="12"/>
  <c r="H29" i="12" s="1"/>
  <c r="C29" i="12"/>
  <c r="D29" i="12"/>
  <c r="E29" i="12"/>
  <c r="F29" i="12"/>
  <c r="G29" i="12"/>
  <c r="B30" i="12"/>
  <c r="H30" i="12" s="1"/>
  <c r="C30" i="12"/>
  <c r="D30" i="12"/>
  <c r="E30" i="12"/>
  <c r="F30" i="12"/>
  <c r="G30" i="12"/>
  <c r="C19" i="12"/>
  <c r="D19" i="12"/>
  <c r="E19" i="12"/>
  <c r="F19" i="12"/>
  <c r="G19" i="12"/>
  <c r="B19" i="12"/>
  <c r="H19" i="12" s="1"/>
  <c r="H3" i="12"/>
  <c r="H4" i="12"/>
  <c r="H5" i="12"/>
  <c r="H6" i="12"/>
  <c r="H7" i="12"/>
  <c r="H8" i="12"/>
  <c r="H9" i="12"/>
  <c r="H10" i="12"/>
  <c r="H11" i="12"/>
  <c r="H12" i="12"/>
  <c r="H13" i="12"/>
  <c r="H2" i="12"/>
  <c r="I3" i="12"/>
  <c r="I4" i="12"/>
  <c r="I5" i="12"/>
  <c r="I6" i="12"/>
  <c r="I7" i="12"/>
  <c r="I8" i="12"/>
  <c r="I9" i="12"/>
  <c r="I10" i="12"/>
  <c r="I11" i="12"/>
  <c r="I12" i="12"/>
  <c r="I13" i="12"/>
  <c r="I2" i="12"/>
  <c r="K13" i="12"/>
  <c r="K12" i="12"/>
  <c r="K11" i="12"/>
  <c r="K10" i="12"/>
  <c r="K9" i="12"/>
  <c r="K8" i="12"/>
  <c r="K7" i="12"/>
  <c r="K6" i="12"/>
  <c r="K5" i="12"/>
  <c r="K4" i="12"/>
  <c r="K3" i="12"/>
  <c r="K2" i="12"/>
  <c r="I80" i="6"/>
  <c r="K80" i="6" s="1"/>
  <c r="I82" i="6"/>
  <c r="K82" i="6" s="1"/>
  <c r="I81" i="6"/>
  <c r="K81" i="6" s="1"/>
  <c r="I77" i="6"/>
  <c r="K77" i="6" s="1"/>
  <c r="I76" i="6"/>
  <c r="K76" i="6" s="1"/>
  <c r="I74" i="6"/>
  <c r="K74" i="6" s="1"/>
  <c r="I78" i="6"/>
  <c r="K78" i="6" s="1"/>
  <c r="I72" i="6"/>
  <c r="K72" i="6" s="1"/>
  <c r="I75" i="6"/>
  <c r="K75" i="6" s="1"/>
  <c r="I79" i="6"/>
  <c r="K79" i="6" s="1"/>
  <c r="I73" i="6"/>
  <c r="K73" i="6" s="1"/>
  <c r="I71" i="6"/>
  <c r="K71" i="6" s="1"/>
  <c r="O5" i="6"/>
  <c r="P5" i="6"/>
  <c r="Q5" i="6"/>
  <c r="R5" i="6"/>
  <c r="S5" i="6"/>
  <c r="N5" i="6"/>
  <c r="O4" i="6"/>
  <c r="P4" i="6"/>
  <c r="Q4" i="6"/>
  <c r="R4" i="6"/>
  <c r="S4" i="6"/>
  <c r="N4" i="6"/>
  <c r="H80" i="6" s="1"/>
  <c r="I44" i="6"/>
  <c r="K44" i="6" s="1"/>
  <c r="I43" i="6"/>
  <c r="K43" i="6" s="1"/>
  <c r="I41" i="6"/>
  <c r="K41" i="6" s="1"/>
  <c r="I42" i="6"/>
  <c r="K42" i="6" s="1"/>
  <c r="I40" i="6"/>
  <c r="K40" i="6" s="1"/>
  <c r="I38" i="6"/>
  <c r="K38" i="6" s="1"/>
  <c r="I39" i="6"/>
  <c r="K39" i="6" s="1"/>
  <c r="I37" i="6"/>
  <c r="K37" i="6" s="1"/>
  <c r="I36" i="6"/>
  <c r="K36" i="6" s="1"/>
  <c r="I34" i="6"/>
  <c r="K34" i="6" s="1"/>
  <c r="I35" i="6"/>
  <c r="K35" i="6" s="1"/>
  <c r="I33" i="6"/>
  <c r="K33" i="6" s="1"/>
  <c r="I29" i="6"/>
  <c r="K29" i="6" s="1"/>
  <c r="I28" i="6"/>
  <c r="K28" i="6" s="1"/>
  <c r="I27" i="6"/>
  <c r="K27" i="6" s="1"/>
  <c r="I26" i="6"/>
  <c r="K26" i="6" s="1"/>
  <c r="I25" i="6"/>
  <c r="K25" i="6" s="1"/>
  <c r="I24" i="6"/>
  <c r="K24" i="6" s="1"/>
  <c r="I23" i="6"/>
  <c r="K23" i="6" s="1"/>
  <c r="I22" i="6"/>
  <c r="K22" i="6" s="1"/>
  <c r="I21" i="6"/>
  <c r="K21" i="6" s="1"/>
  <c r="I20" i="6"/>
  <c r="K20" i="6" s="1"/>
  <c r="I19" i="6"/>
  <c r="K19" i="6" s="1"/>
  <c r="I18" i="6"/>
  <c r="K18" i="6" s="1"/>
  <c r="I14" i="6"/>
  <c r="K14" i="6" s="1"/>
  <c r="I13" i="6"/>
  <c r="K13" i="6" s="1"/>
  <c r="I12" i="6"/>
  <c r="K12" i="6" s="1"/>
  <c r="I11" i="6"/>
  <c r="K11" i="6" s="1"/>
  <c r="I10" i="6"/>
  <c r="K10" i="6" s="1"/>
  <c r="I9" i="6"/>
  <c r="K9" i="6" s="1"/>
  <c r="I8" i="6"/>
  <c r="K8" i="6" s="1"/>
  <c r="I7" i="6"/>
  <c r="K7" i="6" s="1"/>
  <c r="I6" i="6"/>
  <c r="K6" i="6" s="1"/>
  <c r="I5" i="6"/>
  <c r="K5" i="6" s="1"/>
  <c r="I4" i="6"/>
  <c r="K4" i="6" s="1"/>
  <c r="I3" i="6"/>
  <c r="K3" i="6" s="1"/>
  <c r="M29" i="6" l="1"/>
  <c r="M27" i="6"/>
  <c r="M25" i="6"/>
  <c r="M23" i="6"/>
  <c r="M21" i="6"/>
  <c r="M19" i="6"/>
  <c r="M18" i="6"/>
  <c r="M28" i="6"/>
  <c r="M26" i="6"/>
  <c r="M24" i="6"/>
  <c r="M22" i="6"/>
  <c r="M20" i="6"/>
  <c r="H71" i="6"/>
  <c r="H73" i="6"/>
  <c r="H79" i="6"/>
  <c r="H75" i="6"/>
  <c r="H72" i="6"/>
  <c r="H78" i="6"/>
  <c r="H74" i="6"/>
  <c r="H76" i="6"/>
  <c r="H77" i="6"/>
  <c r="H81" i="6"/>
  <c r="H82" i="6"/>
  <c r="M71" i="6"/>
  <c r="M73" i="6"/>
  <c r="M79" i="6"/>
  <c r="M75" i="6"/>
  <c r="M72" i="6"/>
  <c r="M78" i="6"/>
  <c r="M74" i="6"/>
  <c r="M76" i="6"/>
  <c r="M77" i="6"/>
  <c r="M81" i="6"/>
  <c r="M82" i="6"/>
  <c r="M80" i="6"/>
  <c r="H4" i="6"/>
  <c r="H6" i="6"/>
  <c r="H8" i="6"/>
  <c r="H10" i="6"/>
  <c r="H12" i="6"/>
  <c r="H14" i="6"/>
  <c r="H18" i="6"/>
  <c r="H20" i="6"/>
  <c r="H22" i="6"/>
  <c r="H24" i="6"/>
  <c r="H26" i="6"/>
  <c r="H29" i="6"/>
  <c r="H33" i="6"/>
  <c r="H36" i="6"/>
  <c r="H39" i="6"/>
  <c r="H40" i="6"/>
  <c r="H42" i="6"/>
  <c r="H43" i="6"/>
  <c r="H3" i="6"/>
  <c r="H5" i="6"/>
  <c r="H7" i="6"/>
  <c r="H9" i="6"/>
  <c r="H11" i="6"/>
  <c r="H13" i="6"/>
  <c r="H19" i="6"/>
  <c r="H21" i="6"/>
  <c r="H23" i="6"/>
  <c r="H25" i="6"/>
  <c r="H27" i="6"/>
  <c r="H28" i="6"/>
  <c r="H35" i="6"/>
  <c r="H34" i="6"/>
  <c r="H37" i="6"/>
  <c r="H38" i="6"/>
  <c r="H41" i="6"/>
  <c r="H44" i="6"/>
  <c r="K8" i="9" l="1"/>
  <c r="H8" i="9"/>
  <c r="K8" i="8" l="1"/>
  <c r="H8" i="8"/>
  <c r="K7" i="7"/>
  <c r="H7" i="7"/>
  <c r="K8" i="5"/>
  <c r="H8" i="5"/>
  <c r="K8" i="4"/>
  <c r="H8" i="4"/>
  <c r="K8" i="3"/>
  <c r="H8" i="3"/>
  <c r="K8" i="2"/>
  <c r="H8" i="2"/>
</calcChain>
</file>

<file path=xl/sharedStrings.xml><?xml version="1.0" encoding="utf-8"?>
<sst xmlns="http://schemas.openxmlformats.org/spreadsheetml/2006/main" count="7836" uniqueCount="720">
  <si>
    <t>subobj</t>
  </si>
  <si>
    <t>param</t>
  </si>
  <si>
    <t>obj</t>
  </si>
  <si>
    <t>instr</t>
  </si>
  <si>
    <t>attrib</t>
  </si>
  <si>
    <t>'C1-1'</t>
  </si>
  <si>
    <t>'1.5.2 Cloud type'</t>
  </si>
  <si>
    <t>'Aerosol-Cloud Forcing'</t>
  </si>
  <si>
    <t>'HYSP_TIR'</t>
  </si>
  <si>
    <t>'full'</t>
  </si>
  <si>
    <t>'C2-6'</t>
  </si>
  <si>
    <t>'4.3.2 Sea ice cover'</t>
  </si>
  <si>
    <t>'Ice Sheet, Sea Ice Volume and Ice Dynamics'</t>
  </si>
  <si>
    <t>'Insufficient accuracy'</t>
  </si>
  <si>
    <t>'C3-3'</t>
  </si>
  <si>
    <t>'2.4.1 vegetation type and structure'</t>
  </si>
  <si>
    <t>'Carbon Sources and Sinks'</t>
  </si>
  <si>
    <t>'HE1-16'</t>
  </si>
  <si>
    <t>'1.5.1 Cloud top temperature'</t>
  </si>
  <si>
    <t>'Ozone Processes: Ultraviolet Radiation and Cancer'</t>
  </si>
  <si>
    <t>'HE1-17'</t>
  </si>
  <si>
    <t>'HE2-2'</t>
  </si>
  <si>
    <t>'2.3.2 soil moisture'</t>
  </si>
  <si>
    <t>'Heat Stress and Drought'</t>
  </si>
  <si>
    <t>'Insufficient penetration (IR)'</t>
  </si>
  <si>
    <t>'HE2-3'</t>
  </si>
  <si>
    <t>'2.4.2 vegetation state'</t>
  </si>
  <si>
    <t>'HE2-4'</t>
  </si>
  <si>
    <t>'HE5-3'</t>
  </si>
  <si>
    <t>'Algal Blooms and Waterborne Infectious Diseases'</t>
  </si>
  <si>
    <t>'HE6-1'</t>
  </si>
  <si>
    <t>'Vector-borne and Zoonotic Disease'</t>
  </si>
  <si>
    <t>'HE6-4'</t>
  </si>
  <si>
    <t>'HE6-5'</t>
  </si>
  <si>
    <t>'HE6-6'</t>
  </si>
  <si>
    <t>'2.6.2 landcover status'</t>
  </si>
  <si>
    <t>'SE2-1'</t>
  </si>
  <si>
    <t>'2.6.5 surface composition'</t>
  </si>
  <si>
    <t>'Surface composition'</t>
  </si>
  <si>
    <t>'WA5-2'</t>
  </si>
  <si>
    <t>'Sea Ice thickness, glacier surface elevation and glacier velocity'</t>
  </si>
  <si>
    <t>'WA7-3'</t>
  </si>
  <si>
    <t>'2.6.1 land use'</t>
  </si>
  <si>
    <t>'Inland and coastal water quality'</t>
  </si>
  <si>
    <t>'WA7-4'</t>
  </si>
  <si>
    <t>'WE7-1'</t>
  </si>
  <si>
    <t>'Aerosol-cloud discovery'</t>
  </si>
  <si>
    <t>'HYSP_VIS'</t>
  </si>
  <si>
    <t>'ECO1-1'</t>
  </si>
  <si>
    <t>'Ecosystem Function'</t>
  </si>
  <si>
    <t>'ECO1-2'</t>
  </si>
  <si>
    <t>'2.6.3 disaster monitoring'</t>
  </si>
  <si>
    <t>'ECO1-3'</t>
  </si>
  <si>
    <t>'ECO1-4'</t>
  </si>
  <si>
    <t>'3.7.2 coral reef health/extent'</t>
  </si>
  <si>
    <t>'SE1-2'</t>
  </si>
  <si>
    <t>'Surface deformation'</t>
  </si>
  <si>
    <t>'SE2-2'</t>
  </si>
  <si>
    <t>Weather</t>
  </si>
  <si>
    <t>Climate</t>
  </si>
  <si>
    <t>Land</t>
  </si>
  <si>
    <t>Water</t>
  </si>
  <si>
    <t>Health</t>
  </si>
  <si>
    <t>Solid Earth</t>
  </si>
  <si>
    <t>Unweighted average</t>
  </si>
  <si>
    <t>Weighted average</t>
  </si>
  <si>
    <t>Panel weights</t>
  </si>
  <si>
    <t>Panel scores</t>
  </si>
  <si>
    <t>Average score</t>
  </si>
  <si>
    <t>Mission</t>
  </si>
  <si>
    <t>HYSPIRI</t>
  </si>
  <si>
    <t>'SE4-1'</t>
  </si>
  <si>
    <t>'5.1.1 Geoid and gravity field variations'</t>
  </si>
  <si>
    <t>'Temporal variations in Earth gravity field'</t>
  </si>
  <si>
    <t>'GRAC_RANG'</t>
  </si>
  <si>
    <t>'C5-2'</t>
  </si>
  <si>
    <t>'Ocean Circulation, Heat Storage, and Climate Forcing'</t>
  </si>
  <si>
    <t>'WA6-2'</t>
  </si>
  <si>
    <t>'4.1.3 glacier mass balance'</t>
  </si>
  <si>
    <t>'Groundwater storage, ice sheet mass balance and ocean mass'</t>
  </si>
  <si>
    <t>'SE4-3'</t>
  </si>
  <si>
    <t>'SE4-4'</t>
  </si>
  <si>
    <t>'3.2.6 Ocean mass distribution'</t>
  </si>
  <si>
    <t>'WA6-3'</t>
  </si>
  <si>
    <t>'WA6-1'</t>
  </si>
  <si>
    <t>'2.7.3 groundwater storage'</t>
  </si>
  <si>
    <t>'SE4-2'</t>
  </si>
  <si>
    <t>'WA2-3'</t>
  </si>
  <si>
    <t>'3.2.2 seafloor topography'</t>
  </si>
  <si>
    <t>'Surface water and ocean topography'</t>
  </si>
  <si>
    <t>'SE5-1'</t>
  </si>
  <si>
    <t>'Oceanic bathymetry'</t>
  </si>
  <si>
    <t>'WE5-1'</t>
  </si>
  <si>
    <t>'1.3.3 GPS radio occultation'</t>
  </si>
  <si>
    <t>'Radio Occultation'</t>
  </si>
  <si>
    <t>'CLAR_GPS'</t>
  </si>
  <si>
    <t>'Insufficient temporal resolution (days)'</t>
  </si>
  <si>
    <t>'C4-4'</t>
  </si>
  <si>
    <t>'Radiance Calibration and Time-Reference Observatory'</t>
  </si>
  <si>
    <t>'C4-6'</t>
  </si>
  <si>
    <t>'1.3.1 Atmospheric humidity (indirect)'</t>
  </si>
  <si>
    <t>'C4-5'</t>
  </si>
  <si>
    <t>'1.2.1 Atmospheric temperature fields'</t>
  </si>
  <si>
    <t>'C4-3'</t>
  </si>
  <si>
    <t>'1.9.3 Spectrally resolved SW radiance (0.3-2um)'</t>
  </si>
  <si>
    <t>'CLAR_VNIR'</t>
  </si>
  <si>
    <t>'C4-2'</t>
  </si>
  <si>
    <t>'1.9.2 Spectrally resolved IR radiance (200-2000cm-1)'</t>
  </si>
  <si>
    <t>'CLAR_TIR'</t>
  </si>
  <si>
    <t>'ICE_LID'</t>
  </si>
  <si>
    <t>'ECO2-3'</t>
  </si>
  <si>
    <t>'2.4.4 canopy density'</t>
  </si>
  <si>
    <t>'Ecosystem Structure and Biomass'</t>
  </si>
  <si>
    <t>'ECO2-2'</t>
  </si>
  <si>
    <t>'2.4.3 vegetation height'</t>
  </si>
  <si>
    <t>'C1-3'</t>
  </si>
  <si>
    <t>'1.6.1 cloud height/optical thickness'</t>
  </si>
  <si>
    <t>'Insufficient temporal resolution (&gt;1week)'</t>
  </si>
  <si>
    <t>'HE3-3'</t>
  </si>
  <si>
    <t>'1.1.4 aerosol extinction profiles/vertical concentration'</t>
  </si>
  <si>
    <t>'Acute Toxic Pollution and Releases'</t>
  </si>
  <si>
    <t>'Insufficient temporal resolution (&gt;1 week)'</t>
  </si>
  <si>
    <t>'Insufficient temporal resolution (weeks)'</t>
  </si>
  <si>
    <t>'C2-5'</t>
  </si>
  <si>
    <t>'4.3.1 Sea ice thickness'</t>
  </si>
  <si>
    <t>'WA5-1'</t>
  </si>
  <si>
    <t>'C2-4'</t>
  </si>
  <si>
    <t>'4.1.5 Ice Sheet topography'</t>
  </si>
  <si>
    <t>'C2-2'</t>
  </si>
  <si>
    <t>'4.1.2 Glacier surface elevation'</t>
  </si>
  <si>
    <t>'WA5-3'</t>
  </si>
  <si>
    <t>'C2-1'</t>
  </si>
  <si>
    <t>'4.1.1 ice sheet volume'</t>
  </si>
  <si>
    <t>'C3-1'</t>
  </si>
  <si>
    <t>'C3-2'</t>
  </si>
  <si>
    <t>'SE3-1'</t>
  </si>
  <si>
    <t>'2.2.2 Hi-res topography'</t>
  </si>
  <si>
    <t>'High resolution topography'</t>
  </si>
  <si>
    <t>'Insufficient horizontal spatial resolution (~tens of m)'</t>
  </si>
  <si>
    <t>'DESD_LID'</t>
  </si>
  <si>
    <t>'C1-2'</t>
  </si>
  <si>
    <t>'1.5.3 Cloud amount/distribution (horizontal and vertical)'</t>
  </si>
  <si>
    <t>'C1-8'</t>
  </si>
  <si>
    <t>'1.1.1 aerosol height/optical depth'</t>
  </si>
  <si>
    <t>'C2-7'</t>
  </si>
  <si>
    <t>'4.1.4 Ice sheet velocity'</t>
  </si>
  <si>
    <t>'DESD_SAR'</t>
  </si>
  <si>
    <t>'WA5-4'</t>
  </si>
  <si>
    <t>'Insufficient temporal resolution (&lt; 1week)'</t>
  </si>
  <si>
    <t>'ECO2-1'</t>
  </si>
  <si>
    <t>'WA1-2'</t>
  </si>
  <si>
    <t>'Soil moisture and freeze-thaw state'</t>
  </si>
  <si>
    <t>'SE1-1'</t>
  </si>
  <si>
    <t>'2.2.1 surface deformation'</t>
  </si>
  <si>
    <t>'SE2-3'</t>
  </si>
  <si>
    <t>'2.6.4 hydrocarbon reservoir monitoring'</t>
  </si>
  <si>
    <t>'SE1-3'</t>
  </si>
  <si>
    <t>Panel scores (SAR Only)</t>
  </si>
  <si>
    <t>Panel scores (LIDAR Only)</t>
  </si>
  <si>
    <t>'WA1-1'</t>
  </si>
  <si>
    <t>'2.3.1 Freeze/thaw state'</t>
  </si>
  <si>
    <t>'SMAP_RAD'</t>
  </si>
  <si>
    <t>'ACE_LID'</t>
  </si>
  <si>
    <t>'WE7-12'</t>
  </si>
  <si>
    <t>'1.1.5 aerosol size and size distribution'</t>
  </si>
  <si>
    <t>'Insufficient temporal resolution (&lt;1 week)'</t>
  </si>
  <si>
    <t>'C1-12'</t>
  </si>
  <si>
    <t>'WE7-11'</t>
  </si>
  <si>
    <t>'C1-11'</t>
  </si>
  <si>
    <t>'WE7-10'</t>
  </si>
  <si>
    <t>'1.1.3 aerosol scattering properties'</t>
  </si>
  <si>
    <t>'C1-10'</t>
  </si>
  <si>
    <t>'C1-9'</t>
  </si>
  <si>
    <t>'1.1.2 aerosol shape, composition, physical and chemical properties'</t>
  </si>
  <si>
    <t>'WE7-9'</t>
  </si>
  <si>
    <t>'WE7-8'</t>
  </si>
  <si>
    <t>'C3-6'</t>
  </si>
  <si>
    <t>'3.1.3 Extended ocean color - NIR (atmospheric correction)'</t>
  </si>
  <si>
    <t>'ACE_ORCA'</t>
  </si>
  <si>
    <t>'Insufficient spatial resolution (~tens of km)'</t>
  </si>
  <si>
    <t>'ECO5-3'</t>
  </si>
  <si>
    <t>'Global Ocean Productivity'</t>
  </si>
  <si>
    <t>'C3-4'</t>
  </si>
  <si>
    <t>'3.1.1 Ocean color - 410-680nm (Chlorophyll absorption and fluorescence, pigments, phytoplankton, CDOM)'</t>
  </si>
  <si>
    <t>'ECO5-1'</t>
  </si>
  <si>
    <t>'Insufficient horizontal spatial resolution (&gt;1km)'</t>
  </si>
  <si>
    <t>'C1-5'</t>
  </si>
  <si>
    <t>'1.6.3 Cloud particle phase - ice/water transition'</t>
  </si>
  <si>
    <t>'ACE_POL'</t>
  </si>
  <si>
    <t>'WE7-5'</t>
  </si>
  <si>
    <t>'WE7-4'</t>
  </si>
  <si>
    <t>'1.6.2 cloud ice particle size distribution'</t>
  </si>
  <si>
    <t>'C1-4'</t>
  </si>
  <si>
    <t>'HE1-19'</t>
  </si>
  <si>
    <t>'C1-7'</t>
  </si>
  <si>
    <t>'1.7.2 Cloud droplet size'</t>
  </si>
  <si>
    <t>'ACE_CPR'</t>
  </si>
  <si>
    <t>'WE7-7'</t>
  </si>
  <si>
    <t>'HE2-1'</t>
  </si>
  <si>
    <t>'1.7.1 Cloud liquid water and precipitation rate'</t>
  </si>
  <si>
    <t>'HE6-3'</t>
  </si>
  <si>
    <t>'C1-6'</t>
  </si>
  <si>
    <t>'WE7-6'</t>
  </si>
  <si>
    <t>'WE7-3'</t>
  </si>
  <si>
    <t>'WE7-2'</t>
  </si>
  <si>
    <t>'ECO5-2'</t>
  </si>
  <si>
    <t>'3.1.2 Extended ocean color - UV (enhanced DOC, CDOM)'</t>
  </si>
  <si>
    <t>'C3-5'</t>
  </si>
  <si>
    <t>'ACE_CPR-space-averaged'</t>
  </si>
  <si>
    <t>'ACE_POL-space-averaged'</t>
  </si>
  <si>
    <t>'ACE_ORCA-space-averaged'</t>
  </si>
  <si>
    <t>'Insufficient temporal resolution (&lt; 1week)++Insufficient temporal resolution (&gt;1week)'</t>
  </si>
  <si>
    <t>'Insufficient temporal resolution (&gt;1week)++Insufficient temporal resolution (&lt; 1week)'</t>
  </si>
  <si>
    <t>'Insufficient spatial resolution (~tens of km)++Insufficient spatial resolution (~km)'</t>
  </si>
  <si>
    <t>'Insufficient spatial resolution (~km)++Insufficient spatial resolution (~tens of km)'</t>
  </si>
  <si>
    <t>'Insufficient horizontal spatial resolution (~km)++Insufficient horizontal spatial resolution (tens of km)++Insufficient horizontal spatial resolution (~hundreds of m)'</t>
  </si>
  <si>
    <t>'Insufficient temporal resolution (&lt;1 week)++Insufficient temporal resolution (1-3 days)++Insufficient temporal resolution (&gt;1 week)'</t>
  </si>
  <si>
    <t>'Insufficient temporal resolution (&lt;1 week)++Insufficient temporal resolution (&gt;1 week)++Insufficient temporal resolution (1-3 days)'</t>
  </si>
  <si>
    <t>'ECO3-3'</t>
  </si>
  <si>
    <t>'1.8.5 CO'</t>
  </si>
  <si>
    <t>'Carbon Budget'</t>
  </si>
  <si>
    <t>'ASC_GCR'</t>
  </si>
  <si>
    <t>'ECO3-2'</t>
  </si>
  <si>
    <t>'1.8.6 O2'</t>
  </si>
  <si>
    <t>'ASC_LID'</t>
  </si>
  <si>
    <t>'ECO3-1'</t>
  </si>
  <si>
    <t>'1.8.3 CO2'</t>
  </si>
  <si>
    <t>'SWOT_RAD'</t>
  </si>
  <si>
    <t>'C5-1'</t>
  </si>
  <si>
    <t>'3.2.1 Sea level height'</t>
  </si>
  <si>
    <t>'SWOT_KaRIN'</t>
  </si>
  <si>
    <t>'WA2-2'</t>
  </si>
  <si>
    <t>'WA2-1'</t>
  </si>
  <si>
    <t>'2.7.1 river and lake elevation'</t>
  </si>
  <si>
    <t>'SWOT_KaRIN-space-averaged-space-averaged'</t>
  </si>
  <si>
    <t>'Insufficient horizontal spatial resolution (tens of km)++Insufficient horizontal spatial resolution (~km)'</t>
  </si>
  <si>
    <t>'SWOT_KaRIN-space-averaged-time-averaged'</t>
  </si>
  <si>
    <t>'Insufficient horizontal spatial resolution (tens of km)++Insufficient horizontal spatial resolution (~km)++Insufficient horizontal spatial resolution (~hundreds of m)'</t>
  </si>
  <si>
    <t>'SWOT_KaRIN-time-averaged-space-averaged'</t>
  </si>
  <si>
    <t>'SWOT_KaRIN-time-averaged-time-averaged'</t>
  </si>
  <si>
    <t>'Insufficient horizontal spatial resolution (~tens of m)++Insufficient horizontal spatial resolution (tens of km)++Insufficient horizontal spatial resolution (~km)++Insufficient horizontal spatial resolution (~hundreds of m)'</t>
  </si>
  <si>
    <t>'Insufficient penetration (some)'</t>
  </si>
  <si>
    <t>'WA3-1'</t>
  </si>
  <si>
    <t>'4.2.1 snow-water equivalence'</t>
  </si>
  <si>
    <t>'Snow and cold land processes'</t>
  </si>
  <si>
    <t>'Insufficient horizontal spatial resolution (hundreds of m)++Insufficient horizontal spatial resolution (km)'</t>
  </si>
  <si>
    <t>'Insufficient horizontal spatial resolution (km)'</t>
  </si>
  <si>
    <t>'SWOT_KaRIN-time-averaged'</t>
  </si>
  <si>
    <t>'Insufficient accuracy (no dual frequency)'</t>
  </si>
  <si>
    <t>'Insufficient horizontal spatial resolution (km)++Insufficient horizontal spatial resolution (hundreds of m)'</t>
  </si>
  <si>
    <t>'WA3-2'</t>
  </si>
  <si>
    <t>'4.2.2 snow depth'</t>
  </si>
  <si>
    <t>'WA3-3'</t>
  </si>
  <si>
    <t>'4.2.3 snow wetness'</t>
  </si>
  <si>
    <t>'WA3-4'</t>
  </si>
  <si>
    <t>'4.2.4 snow cover'</t>
  </si>
  <si>
    <t>'ECO4-3'</t>
  </si>
  <si>
    <t>'Coastal Ecosystem Dynamics'</t>
  </si>
  <si>
    <t>'GEO_WAIS'</t>
  </si>
  <si>
    <t>'ECO4-2'</t>
  </si>
  <si>
    <t>'ECO4-1'</t>
  </si>
  <si>
    <t>'Insufficient horizontal spatial resolution (~km)++Insufficient horizontal spatial resolution (tens of km)'</t>
  </si>
  <si>
    <t>'HE3-4'</t>
  </si>
  <si>
    <t>'Insufficient horizontal spatial resolution (a few km)++Insufficient horizontal spatial resolution (&gt;10km)'</t>
  </si>
  <si>
    <t>'HE3-2'</t>
  </si>
  <si>
    <t>'HE5-2'</t>
  </si>
  <si>
    <t>'GEO_STEER'</t>
  </si>
  <si>
    <t>'WA7-2'</t>
  </si>
  <si>
    <t>'Insufficient horizontal spatial resolution (hundreds of m)++Insufficient horizontal spatial resolution (&gt;10km)++Insufficient horizontal spatial resolution (a few km)'</t>
  </si>
  <si>
    <t>'WA7-1'</t>
  </si>
  <si>
    <t>'HE5-1'</t>
  </si>
  <si>
    <t>'Insufficient horizontal spatial resolution (~km)++Insufficient horizontal spatial resolution (~hundreds of m)++Insufficient horizontal spatial resolution (tens of km)'</t>
  </si>
  <si>
    <t>'GEO_STEER-time-averaged'</t>
  </si>
  <si>
    <t>'HE3-1'</t>
  </si>
  <si>
    <t>'1.8.16 Visible atmospheric plumes'</t>
  </si>
  <si>
    <t>'Insufficient horizontal spatial resolution (&gt;10km)++Insufficient horizontal spatial resolution (hundreds of m)++Insufficient horizontal spatial resolution (a few km)'</t>
  </si>
  <si>
    <t>'GEO_STEER-time-averaged-space-averaged'</t>
  </si>
  <si>
    <t>'GEO_STEER-space-averaged'</t>
  </si>
  <si>
    <t>'Insufficient horizontal spatial resolution (&gt;10km)++Insufficient horizontal spatial resolution (a few km)'</t>
  </si>
  <si>
    <t>'GEO_STEER-space-averaged-time-averaged'</t>
  </si>
  <si>
    <t>'GEO_STEER-space-averaged-space-averaged'</t>
  </si>
  <si>
    <t>'Insufficient horizontal spatial resolution (&gt;10km)'</t>
  </si>
  <si>
    <t>'Insufficient horizontal spatial resolution (a few km)++Insufficient horizontal spatial resolution (hundreds of m)++Insufficient horizontal spatial resolution (&gt;10km)'</t>
  </si>
  <si>
    <t>'Insufficient horizontal spatial resolution (hundreds of m)++Insufficient horizontal spatial resolution (a few km)++Insufficient horizontal spatial resolution (&gt;10km)'</t>
  </si>
  <si>
    <t>'Insufficient horizontal spatial resolution (tens of km)++Insufficient horizontal spatial resolution (~hundreds of m)++Insufficient horizontal spatial resolution (~km)'</t>
  </si>
  <si>
    <t>'Insufficient horizontal spatial resolution (a few km)++Insufficient horizontal spatial resolution (&gt;10km)++Insufficient horizontal spatial resolution (hundreds of m)'</t>
  </si>
  <si>
    <t>'Insufficient horizontal spatial resolution (&gt;10km)++Insufficient horizontal spatial resolution (a few km)++Insufficient horizontal spatial resolution (hundreds of m)'</t>
  </si>
  <si>
    <t>'HE4-11'</t>
  </si>
  <si>
    <t>'Air Pollution and Respiratory and Cardiovascular Diseases'</t>
  </si>
  <si>
    <t>'Insufficient vertical spatial resolution (total column only)'</t>
  </si>
  <si>
    <t>'HE4-12'</t>
  </si>
  <si>
    <t>'1.8.2 O3'</t>
  </si>
  <si>
    <t>'HE4-14'</t>
  </si>
  <si>
    <t>'HE4-15'</t>
  </si>
  <si>
    <t>'1.8.8 CH2O and non-CH4 VOC'</t>
  </si>
  <si>
    <t>'HE4-16'</t>
  </si>
  <si>
    <t>'1.8.11 SO2'</t>
  </si>
  <si>
    <t>'HE4-18'</t>
  </si>
  <si>
    <t>'1.8.13 Black carbon and other polluting aerosols'</t>
  </si>
  <si>
    <t>'GEO_STEER-GEO_WAIS-hyp-disaggregated'</t>
  </si>
  <si>
    <t>'GEO_WAIS-GEO_STEER-disaggregated'</t>
  </si>
  <si>
    <t>'GEO_STEER-GEO_WAIS-disaggregated'</t>
  </si>
  <si>
    <t>'GEO_STEER-GEO_WAIS-disaggregated-time-averaged'</t>
  </si>
  <si>
    <t>'GEO_STEER-GEO_WAIS-disaggregated-space-averaged'</t>
  </si>
  <si>
    <t>'GEO_STEER-GEO_WAIS-hyp-disaggregated-time-averaged'</t>
  </si>
  <si>
    <t>'GEO_STEER-GEO_WAIS-hyp-disaggregated-space-averaged'</t>
  </si>
  <si>
    <t>'GEO_WAIS-GEO_STEER-disaggregated-time-averaged'</t>
  </si>
  <si>
    <t>'GEO_WAIS-GEO_STEER-disaggregated-space-averaged'</t>
  </si>
  <si>
    <t>SCORES FROM MODEL</t>
  </si>
  <si>
    <t>Instrument</t>
  </si>
  <si>
    <t>Unweighted</t>
  </si>
  <si>
    <t>weighted</t>
  </si>
  <si>
    <t>Cost</t>
  </si>
  <si>
    <t>ratio (x100/$B)</t>
  </si>
  <si>
    <t>CLARREO</t>
  </si>
  <si>
    <t>SMAP</t>
  </si>
  <si>
    <t>ASCENDS</t>
  </si>
  <si>
    <t>SWOT</t>
  </si>
  <si>
    <t>GEO-CAPE</t>
  </si>
  <si>
    <t>ICESAT-II</t>
  </si>
  <si>
    <t>DESDYINI</t>
  </si>
  <si>
    <t>GRACE-III</t>
  </si>
  <si>
    <t>Science per $</t>
  </si>
  <si>
    <t>DESD_SAR</t>
  </si>
  <si>
    <t>ACE</t>
  </si>
  <si>
    <t>DESD_LID</t>
  </si>
  <si>
    <t>MISSION SORTED BY SCIENCE PER DOLLAR</t>
  </si>
  <si>
    <t>GRACE-II</t>
  </si>
  <si>
    <t>DESDYNI</t>
  </si>
  <si>
    <t>MISSIONS SORTED BY UNWEIGHTED SCIENCE</t>
  </si>
  <si>
    <t>MISSIONS SORTED BY WEIGHTED SCIENCE</t>
  </si>
  <si>
    <t>Weighted</t>
  </si>
  <si>
    <t>Note</t>
  </si>
  <si>
    <t>LIST</t>
  </si>
  <si>
    <t>PATH</t>
  </si>
  <si>
    <t>SCLP</t>
  </si>
  <si>
    <t>GACM</t>
  </si>
  <si>
    <t>3DWINDS</t>
  </si>
  <si>
    <t>GPSRO</t>
  </si>
  <si>
    <t>XOVWM</t>
  </si>
  <si>
    <t>Original</t>
  </si>
  <si>
    <t>Latest</t>
  </si>
  <si>
    <t>'HYSP_VIS-time-averaged-time-averaged'</t>
  </si>
  <si>
    <t>'Degraded accuracy due to no polarimetry capability'</t>
  </si>
  <si>
    <t>'HYSP_VIS-time-averaged'</t>
  </si>
  <si>
    <t>'3.5.1 Surface temperature -ocean-'</t>
  </si>
  <si>
    <t>'2.5.1 Surface temperature -land-'</t>
  </si>
  <si>
    <t>'HYSP_TIR-time-averaged'</t>
  </si>
  <si>
    <t>'HYSP_TIR-space-averaged'</t>
  </si>
  <si>
    <t>'HYSP_TIR-HYSP_VIS-disaggregated'</t>
  </si>
  <si>
    <t>instrum</t>
  </si>
  <si>
    <t>explanation</t>
  </si>
  <si>
    <t>HYSP_TIR-space-averaged'</t>
  </si>
  <si>
    <t>'C5-4'</t>
  </si>
  <si>
    <t>'C5-3'</t>
  </si>
  <si>
    <t>'3.4.2 Ocean surface wind direction'</t>
  </si>
  <si>
    <t>'SMAP_MWR-time-averaged-time-averaged'</t>
  </si>
  <si>
    <t>'3.4.1 Ocean surface wind speed'</t>
  </si>
  <si>
    <t>'SMAP_MWR-SMAP_RAD-disaggregated'</t>
  </si>
  <si>
    <t>'Insufficient temporal resolution (3-7 days)++Insufficient temporal resolution (&gt;1 week)'</t>
  </si>
  <si>
    <t>'Insufficient temporal resolution (&gt;1 week)++Insufficient temporal resolution (3-7 days)'</t>
  </si>
  <si>
    <t>3D-WINDS</t>
  </si>
  <si>
    <t>sorted by weighted score</t>
  </si>
  <si>
    <t>Decadal Cost</t>
  </si>
  <si>
    <t>Latest cost</t>
  </si>
  <si>
    <t>Order</t>
  </si>
  <si>
    <t>sorted by unweighted science / initial cost</t>
  </si>
  <si>
    <t>sorted by weighted science / latest cost</t>
  </si>
  <si>
    <t>unweighted science/initial cost</t>
  </si>
  <si>
    <t>'3.1.1 Ocean color - 410-680nm -Chlorophyll absorption and fluorescence, pigments, phytoplankton, CDOM-'</t>
  </si>
  <si>
    <t>'3.1.3 Extended ocean color - NIR -atmospheric correction-'</t>
  </si>
  <si>
    <t>'1.8.7 NOx-NO, NO2-, N2O5, HNO3'</t>
  </si>
  <si>
    <t>'3.1.2 Extended ocean color - UV -enhanced DOC, CDOM-'</t>
  </si>
  <si>
    <t>'Insufficient horizontal spatial resolution (~hundreds of m)++Insufficient horizontal spatial resolution (tens of km)++Insufficient horizontal spatial resolution (~km)'</t>
  </si>
  <si>
    <t>'WE2-6'</t>
  </si>
  <si>
    <t>'High temporal resolution air pollution'</t>
  </si>
  <si>
    <t>'WE2-5'</t>
  </si>
  <si>
    <t>'WE2-4'</t>
  </si>
  <si>
    <t>'WE2-3'</t>
  </si>
  <si>
    <t>'WE2-1'</t>
  </si>
  <si>
    <t>'Insufficient horizontal spatial resolution (~hundreds of m)++Insufficient horizontal spatial resolution (~km)++Insufficient horizontal spatial resolution (tens of km)'</t>
  </si>
  <si>
    <t>'GEO_STEER-space-averaged-time-averaged-syn-GEO_WAIS'</t>
  </si>
  <si>
    <t>'GEO_STEER-space-averaged-time-averaged-syn-GEO_WAIS-GEO_STEER-disaggregated'</t>
  </si>
  <si>
    <t>'GEO_STEER-space-averaged-time-averaged-syn-GEO_WAIS-GEO_STEER-disaggregated-space-averaged'</t>
  </si>
  <si>
    <t>'GEO_STEER-space-averaged-time-averaged-syn-GEO_WAIS-GEO_STEER-disaggregated-time-averaged'</t>
  </si>
  <si>
    <t>'GEO_STEER-space-averaged-space-averaged-syn-GEO_WAIS'</t>
  </si>
  <si>
    <t>'GEO_STEER-space-averaged-space-averaged-syn-GEO_WAIS-GEO_STEER-disaggregated'</t>
  </si>
  <si>
    <t>'GEO_STEER-space-averaged-space-averaged-syn-GEO_WAIS-GEO_STEER-disaggregated-space-averaged'</t>
  </si>
  <si>
    <t>'GEO_STEER-space-averaged-space-averaged-syn-GEO_WAIS-GEO_STEER-disaggregated-time-averaged'</t>
  </si>
  <si>
    <t>'GEO_STEER-time-averaged-space-averaged-syn-GEO_WAIS'</t>
  </si>
  <si>
    <t>'GEO_STEER-time-averaged-space-averaged-syn-GEO_WAIS-GEO_STEER-disaggregated'</t>
  </si>
  <si>
    <t>'GEO_STEER-time-averaged-space-averaged-syn-GEO_WAIS-GEO_STEER-disaggregated-space-averaged'</t>
  </si>
  <si>
    <t>'GEO_STEER-time-averaged-space-averaged-syn-GEO_WAIS-GEO_STEER-disaggregated-time-averaged'</t>
  </si>
  <si>
    <t>'GEO_STEER-syn-GEO_WAIS-space-averaged'</t>
  </si>
  <si>
    <t>'GEO_STEER-syn-GEO_WAIS-time-averaged'</t>
  </si>
  <si>
    <t>'GEO_STEER-space-averaged-syn-GEO_WAIS'</t>
  </si>
  <si>
    <t>'GEO_STEER-space-averaged-syn-GEO_WAIS-GEO_STEER-disaggregated'</t>
  </si>
  <si>
    <t>'GEO_STEER-space-averaged-syn-GEO_WAIS-GEO_STEER-disaggregated-time-averaged'</t>
  </si>
  <si>
    <t>'GEO_STEER-space-averaged-syn-GEO_WAIS-GEO_STEER-disaggregated-space-averaged'</t>
  </si>
  <si>
    <t>'GEO_STEER-time-averaged-time-averaged-syn-GEO_WAIS'</t>
  </si>
  <si>
    <t>'GEO_STEER-time-averaged-time-averaged-syn-GEO_WAIS-GEO_STEER-disaggregated'</t>
  </si>
  <si>
    <t>'GEO_STEER-time-averaged-time-averaged-syn-GEO_WAIS-GEO_STEER-disaggregated-time-averaged'</t>
  </si>
  <si>
    <t>'GEO_STEER-time-averaged-time-averaged-syn-GEO_WAIS-GEO_STEER-disaggregated-space-averaged'</t>
  </si>
  <si>
    <t>'GEO_STEER-time-averaged-syn-GEO_WAIS'</t>
  </si>
  <si>
    <t>'GEO_STEER-time-averaged-syn-GEO_WAIS-GEO_STEER-disaggregated'</t>
  </si>
  <si>
    <t>'GEO_STEER-time-averaged-syn-GEO_WAIS-GEO_STEER-disaggregated-time-averaged'</t>
  </si>
  <si>
    <t>'GEO_STEER-time-averaged-syn-GEO_WAIS-GEO_STEER-disaggregated-space-averaged'</t>
  </si>
  <si>
    <t>'GEO_STEER-syn-GEO_WAIS'</t>
  </si>
  <si>
    <t>'GEO_STEER-syn-GEO_WAIS-GEO_STEER-disaggregated-space-averaged'</t>
  </si>
  <si>
    <t>'GEO_STEER-syn-GEO_WAIS-GEO_STEER-disaggregated-space-averaged-time-averaged'</t>
  </si>
  <si>
    <t>'GEO_STEER-syn-GEO_WAIS-GEO_STEER-disaggregated-space-averaged-space-averaged'</t>
  </si>
  <si>
    <t>'GEO_STEER-GEO_WAIS-hyp-disaggregated-syn-GEO_WAIS-GEO_STEER-disaggregated-space-averaged'</t>
  </si>
  <si>
    <t>'GEO_STEER-GEO_WAIS-hyp-disaggregated-time-averaged-syn-GEO_WAIS-GEO_STEER-disaggregated-space-averaged'</t>
  </si>
  <si>
    <t>'GEO_STEER-GEO_WAIS-hyp-disaggregated-space-averaged-syn-GEO_WAIS-GEO_STEER-disaggregated-space-averaged'</t>
  </si>
  <si>
    <t>'GEO_STEER-GEO_WAIS-disaggregated-syn-GEO_WAIS-GEO_STEER-disaggregated-space-averaged'</t>
  </si>
  <si>
    <t>'GEO_STEER-GEO_WAIS-disaggregated-space-averaged-syn-GEO_WAIS-GEO_STEER-disaggregated-space-averaged'</t>
  </si>
  <si>
    <t>'GEO_STEER-GEO_WAIS-disaggregated-time-averaged-syn-GEO_WAIS-GEO_STEER-disaggregated-space-averaged'</t>
  </si>
  <si>
    <t>'GEO_STEER-syn-GEO_WAIS-GEO_STEER-disaggregated-time-averaged'</t>
  </si>
  <si>
    <t>'GEO_STEER-syn-GEO_WAIS-GEO_STEER-disaggregated-time-averaged-space-averaged'</t>
  </si>
  <si>
    <t>'GEO_STEER-syn-GEO_WAIS-GEO_STEER-disaggregated-time-averaged-time-averaged'</t>
  </si>
  <si>
    <t>'GEO_STEER-GEO_WAIS-hyp-disaggregated-syn-GEO_WAIS-GEO_STEER-disaggregated-time-averaged'</t>
  </si>
  <si>
    <t>'GEO_STEER-GEO_WAIS-hyp-disaggregated-time-averaged-syn-GEO_WAIS-GEO_STEER-disaggregated-time-averaged'</t>
  </si>
  <si>
    <t>'GEO_STEER-GEO_WAIS-hyp-disaggregated-space-averaged-syn-GEO_WAIS-GEO_STEER-disaggregated-time-averaged'</t>
  </si>
  <si>
    <t>'GEO_STEER-GEO_WAIS-disaggregated-syn-GEO_WAIS-GEO_STEER-disaggregated-time-averaged'</t>
  </si>
  <si>
    <t>'GEO_STEER-GEO_WAIS-disaggregated-space-averaged-syn-GEO_WAIS-GEO_STEER-disaggregated-time-averaged'</t>
  </si>
  <si>
    <t>'GEO_STEER-GEO_WAIS-disaggregated-time-averaged-syn-GEO_WAIS-GEO_STEER-disaggregated-time-averaged'</t>
  </si>
  <si>
    <t>'GEO_STEER-syn-GEO_WAIS-GEO_STEER-disaggregated'</t>
  </si>
  <si>
    <t>'GEO_STEER-GEO_WAIS-hyp-disaggregated-syn-GEO_WAIS-GEO_STEER-disaggregated'</t>
  </si>
  <si>
    <t>'GEO_STEER-GEO_WAIS-hyp-disaggregated-time-averaged-syn-GEO_WAIS-GEO_STEER-disaggregated'</t>
  </si>
  <si>
    <t>'GEO_STEER-GEO_WAIS-hyp-disaggregated-space-averaged-syn-GEO_WAIS-GEO_STEER-disaggregated'</t>
  </si>
  <si>
    <t>'GEO_STEER-GEO_WAIS-disaggregated-syn-GEO_WAIS-GEO_STEER-disaggregated'</t>
  </si>
  <si>
    <t>'GEO_STEER-GEO_WAIS-disaggregated-space-averaged-syn-GEO_WAIS-GEO_STEER-disaggregated'</t>
  </si>
  <si>
    <t>'GEO_STEER-GEO_WAIS-disaggregated-time-averaged-syn-GEO_WAIS-GEO_STEER-disaggregated'</t>
  </si>
  <si>
    <t>'GEO_STEER-GEO_WAIS-disaggregated-time-averaged-syn-GEO_WAIS'</t>
  </si>
  <si>
    <t>'GEO_STEER-GEO_WAIS-disaggregated-space-averaged-syn-GEO_WAIS'</t>
  </si>
  <si>
    <t>'GEO_STEER-GEO_WAIS-disaggregated-syn-GEO_WAIS'</t>
  </si>
  <si>
    <t>'GEO_STEER-GEO_WAIS-hyp-disaggregated-space-averaged-syn-GEO_WAIS'</t>
  </si>
  <si>
    <t>'GEO_STEER-GEO_WAIS-hyp-disaggregated-time-averaged-syn-GEO_WAIS'</t>
  </si>
  <si>
    <t>'GEO_STEER-GEO_WAIS-hyp-disaggregated-syn-GEO_WAIS'</t>
  </si>
  <si>
    <t>weighted_science/latest</t>
  </si>
  <si>
    <t>'HE1-3'</t>
  </si>
  <si>
    <t>'1.8.14 ClO, BrO, halogen compounds'</t>
  </si>
  <si>
    <t>'GACM_MWSP'</t>
  </si>
  <si>
    <t>'HE1-4'</t>
  </si>
  <si>
    <t>'1.8.10 H2O2, OH, HO2 and isotopes -HDO, H218O-'</t>
  </si>
  <si>
    <t>'HE1-8'</t>
  </si>
  <si>
    <t>'HE1-7'</t>
  </si>
  <si>
    <t>'HE1-1'</t>
  </si>
  <si>
    <t>'HE1-2'</t>
  </si>
  <si>
    <t>'1.8.1 H2O'</t>
  </si>
  <si>
    <t>'GACM_SWIR'</t>
  </si>
  <si>
    <t>'GACM_SWIR-syn-GACM_MWSP'</t>
  </si>
  <si>
    <t>'GACM_VIS'</t>
  </si>
  <si>
    <t>'HE1-9'</t>
  </si>
  <si>
    <t>'HE1-15'</t>
  </si>
  <si>
    <t>'HE1-11'</t>
  </si>
  <si>
    <t>'GACM_DIAL'</t>
  </si>
  <si>
    <t>'HE1-14'</t>
  </si>
  <si>
    <t>'GACM_SWIR-GACM_MWSP-disaggregated'</t>
  </si>
  <si>
    <t>'GACM_SWIR-GACM_MWSP-disaggregated-syn-GACM_MWSP'</t>
  </si>
  <si>
    <t>'GACM_SWIR-GACM_MWSP-disaggregated-syn-GACM_MWSP-GACM_SWIR-disaggregated'</t>
  </si>
  <si>
    <t>'GACM_MWSP-GACM_SWIR-disaggregated'</t>
  </si>
  <si>
    <t>'GACM_SWIR-syn-GACM_MWSP-GACM_SWIR-disaggregated'</t>
  </si>
  <si>
    <t>'GACM_MWSP-GACM_VIS-disaggregated'</t>
  </si>
  <si>
    <t>'GACM_VIS-GACM_MWSP-disaggregated'</t>
  </si>
  <si>
    <t>'GACM_DIAL-GACM_MWSP-disaggregated'</t>
  </si>
  <si>
    <t>'GACM_MWSP-GACM_DIAL-disaggregated'</t>
  </si>
  <si>
    <t>'GACM_VIS-GACM_DIAL-disaggregated'</t>
  </si>
  <si>
    <t>'GACM_DIAL-GACM_VIS-disaggregated'</t>
  </si>
  <si>
    <t>'GACM_DIAL-GACM_VIS-disaggregated-space-averaged'</t>
  </si>
  <si>
    <t>'WE6-4'</t>
  </si>
  <si>
    <t>'Comprehensive tropospheric O3 measurements'</t>
  </si>
  <si>
    <t>'HE4-5'</t>
  </si>
  <si>
    <t>'WE6-5'</t>
  </si>
  <si>
    <t>'HE4-13'</t>
  </si>
  <si>
    <t>'HE4-4'</t>
  </si>
  <si>
    <t>'HE4-3'</t>
  </si>
  <si>
    <t>'WE6-1'</t>
  </si>
  <si>
    <t>'HE1-6'</t>
  </si>
  <si>
    <t>'1.8.4 CH4'</t>
  </si>
  <si>
    <t>'Insufficient vertical spatial resolution'</t>
  </si>
  <si>
    <t>'GACM_VIS-space-averaged'</t>
  </si>
  <si>
    <t>'HE4-9'</t>
  </si>
  <si>
    <t>'WE6-7'</t>
  </si>
  <si>
    <t>'HE4-7'</t>
  </si>
  <si>
    <t>'WE6-6'</t>
  </si>
  <si>
    <t>'HE4-6'</t>
  </si>
  <si>
    <t>'WE6-3'</t>
  </si>
  <si>
    <t>'HE4-2'</t>
  </si>
  <si>
    <t>'GACM_VIS-GACM_MWSP-disaggregated-space-averaged'</t>
  </si>
  <si>
    <t>'GACM_MWSP-GACM_VIS-disaggregated-space-averaged'</t>
  </si>
  <si>
    <t>'GACM_VIS-GACM_DIAL-disaggregated-space-averaged'</t>
  </si>
  <si>
    <t>'Insufficient horizontal spatial resolution (hundreds of m)++Insufficient horizontal spatial resolution (&gt;1km)'</t>
  </si>
  <si>
    <t>'HE4-17'</t>
  </si>
  <si>
    <t>'HE4-8'</t>
  </si>
  <si>
    <t>'Insufficient temporal resolution (3days-1week)++Insufficient temporal resolution (weeks)'</t>
  </si>
  <si>
    <t>'GACM_VIS-time-averaged'</t>
  </si>
  <si>
    <t>'Insufficient temporal resolution (&lt;1 week)++Insufficient temporal resolution (&gt;1 week)'</t>
  </si>
  <si>
    <t>'No polarimetry'</t>
  </si>
  <si>
    <t>'Degraded accuracy due to missing polarization information'</t>
  </si>
  <si>
    <t>'Insufficient horizontal spatial resolution (&gt;1km)++Insufficient horizontal spatial resolution (hundreds of m)'</t>
  </si>
  <si>
    <t>'Insufficient temporal resolution (weeks)++Insufficient temporal resolution (3days-1week)'</t>
  </si>
  <si>
    <t>'Insufficient temporal resolution (&gt;1 week)++Insufficient temporal resolution (1-3 days)++Insufficient temporal resolution (&lt;1 week)'</t>
  </si>
  <si>
    <t>'GACM_MWSP-GACM_VIS-disaggregated-time-averaged'</t>
  </si>
  <si>
    <t>'GACM_VIS-GACM_MWSP-disaggregated-time-averaged'</t>
  </si>
  <si>
    <t>'GACM_VIS-GACM_DIAL-disaggregated-time-averaged'</t>
  </si>
  <si>
    <t>'GACM_DIAL-GACM_VIS-disaggregated-time-averaged'</t>
  </si>
  <si>
    <t>'GPS'</t>
  </si>
  <si>
    <t>'WA4-1'</t>
  </si>
  <si>
    <t>'1.3.1 Atmospheric humidity -indirect-'</t>
  </si>
  <si>
    <t>'Water vapor transport'</t>
  </si>
  <si>
    <t>'1.5.3 Cloud amount/distribution -horizontal and vertical-'</t>
  </si>
  <si>
    <t>'DESD_SAR-space-averaged-space-averaged'</t>
  </si>
  <si>
    <t>'Insufficient horizontal spatial resolution (~km)'</t>
  </si>
  <si>
    <t>'DESD_SAR-space-averaged'</t>
  </si>
  <si>
    <t>'Insufficient spatial resolution (~km)++Insufficient spatial resolution (hundres of m)++Insufficient spatial resolution (~tens of km)'</t>
  </si>
  <si>
    <t>'DESD_LID-syn-DESD_SAR'</t>
  </si>
  <si>
    <t>'DESD_SAR-syn-DESD_LID'</t>
  </si>
  <si>
    <t>'DESD_SAR-time-averaged'</t>
  </si>
  <si>
    <t>'Insufficient horizontal spatial resolution (~km)++Insufficient horizontal spatial resolution (~hundreds of m)++Insufficient horizontal spatial resolution (tens of km)++Insufficient horizontal spatial resolution (~tens of m)'</t>
  </si>
  <si>
    <t>'DESD_SAR-time-averaged-syn-DESD_LID'</t>
  </si>
  <si>
    <t>'Insufficient horizontal spatial resolution (~tens of m)++Insufficient horizontal spatial resolution (tens of km)++Insufficient horizontal spatial resolution (~hundreds of m)++Insufficient horizontal spatial resolution (~km)'</t>
  </si>
  <si>
    <t>'DESD_LID-syn-DESD_SAR-time-averaged'</t>
  </si>
  <si>
    <t>'Insufficient horizontal spatial resolution (~tens of m)++Insufficient horizontal spatial resolution (~hundreds of m)++Insufficient horizontal spatial resolution (~km)++Insufficient horizontal spatial resolution (tens of km)'</t>
  </si>
  <si>
    <t>'DESD_LID-DESD_SAR-disaggregated-syn-DESD_SAR-time-averaged'</t>
  </si>
  <si>
    <t>'DESD_LID-DESD_SAR-disaggregated-syn-DESD_SAR-time-averaged-space-averaged'</t>
  </si>
  <si>
    <t>'DESD_LID-DESD_SAR-disaggregated-syn-DESD_SAR-time-averaged-time-averaged'</t>
  </si>
  <si>
    <t>'DESD_SAR-time-averaged-syn-DESD_LID-DESD_SAR-disaggregated'</t>
  </si>
  <si>
    <t>'Insufficient horizontal spatial resolution (~hundreds of m)++Insufficient horizontal spatial resolution (~km)++Insufficient horizontal spatial resolution (tens of km)++Insufficient horizontal spatial resolution (~tens of m)'</t>
  </si>
  <si>
    <t>'DESD_LID-DESD_SAR-disaggregated-space-averaged-syn-DESD_SAR-time-averaged'</t>
  </si>
  <si>
    <t>'DESD_SAR-time-averaged-syn-DESD_LID-DESD_SAR-disaggregated-space-averaged'</t>
  </si>
  <si>
    <t>'DESD_LID-DESD_SAR-disaggregated-time-averaged-syn-DESD_SAR-time-averaged'</t>
  </si>
  <si>
    <t>'DESD_SAR-time-averaged-syn-DESD_LID-DESD_SAR-disaggregated-time-averaged'</t>
  </si>
  <si>
    <t>'DESD_LID-syn-DESD_SAR-space-averaged'</t>
  </si>
  <si>
    <t>'DESD_SAR-space-averaged-syn-DESD_LID'</t>
  </si>
  <si>
    <t>'DESD_SAR-space-averaged-syn-DESD_LID-DESD_SAR-disaggregated'</t>
  </si>
  <si>
    <t>'DESD_LID-DESD_SAR-disaggregated-syn-DESD_SAR-space-averaged'</t>
  </si>
  <si>
    <t>'DESD_LID-DESD_SAR-disaggregated-syn-DESD_SAR-space-averaged-time-averaged'</t>
  </si>
  <si>
    <t>'DESD_LID-DESD_SAR-disaggregated-syn-DESD_SAR-space-averaged-space-averaged'</t>
  </si>
  <si>
    <t>'DESD_LID-DESD_SAR-disaggregated-space-averaged-syn-DESD_SAR-space-averaged'</t>
  </si>
  <si>
    <t>'DESD_SAR-space-averaged-syn-DESD_LID-DESD_SAR-disaggregated-space-averaged'</t>
  </si>
  <si>
    <t>'DESD_LID-DESD_SAR-disaggregated-time-averaged-syn-DESD_SAR-space-averaged'</t>
  </si>
  <si>
    <t>'DESD_SAR-space-averaged-syn-DESD_LID-DESD_SAR-disaggregated-time-averaged'</t>
  </si>
  <si>
    <t>'Insufficient horizontal spatial resolution (tens of km)++Insufficient horizontal spatial resolution (~km)++Insufficient horizontal spatial resolution (~hundreds of m)++Insufficient horizontal spatial resolution (~tens of m)'</t>
  </si>
  <si>
    <t>'DESD_LID-DESD_SAR-disaggregated'</t>
  </si>
  <si>
    <t>'DESD_SAR-syn-DESD_LID-DESD_SAR-disaggregated'</t>
  </si>
  <si>
    <t>'DESD_LID-DESD_SAR-disaggregated-syn-DESD_SAR'</t>
  </si>
  <si>
    <t>'DESD_SAR-DESD_LID-disaggregated-syn-DESD_LID-DESD_SAR-disaggregated'</t>
  </si>
  <si>
    <t>'DESD_LID-DESD_SAR-disaggregated-syn-DESD_SAR-DESD_LID-disaggregated'</t>
  </si>
  <si>
    <t>'DESD_SAR-DESD_LID-disaggregated'</t>
  </si>
  <si>
    <t>'DESD_SAR-DESD_LID-disaggregated-syn-DESD_LID'</t>
  </si>
  <si>
    <t>'DESD_LID-syn-DESD_SAR-DESD_LID-disaggregated'</t>
  </si>
  <si>
    <t>'DESD_SAR-DESD_LID-disaggregated-time-averaged'</t>
  </si>
  <si>
    <t>'Insufficient horizontal spatial resolution (tens of km)++Insufficient horizontal spatial resolution (~tens of m)++Insufficient horizontal spatial resolution (~km)++Insufficient horizontal spatial resolution (~hundreds of m)'</t>
  </si>
  <si>
    <t>'DESD_LID-syn-DESD_SAR-DESD_LID-disaggregated-time-averaged'</t>
  </si>
  <si>
    <t>'DESD_SAR-DESD_LID-disaggregated-time-averaged-syn-DESD_LID'</t>
  </si>
  <si>
    <t>'DESD_SAR-DESD_LID-disaggregated-time-averaged-syn-DESD_LID-DESD_SAR-disaggregated'</t>
  </si>
  <si>
    <t>'DESD_LID-DESD_SAR-disaggregated-syn-DESD_SAR-DESD_LID-disaggregated-time-averaged'</t>
  </si>
  <si>
    <t>'DESD_LID-DESD_SAR-disaggregated-syn-DESD_SAR-DESD_LID-disaggregated-time-averaged-time-averaged'</t>
  </si>
  <si>
    <t>'DESD_LID-DESD_SAR-disaggregated-syn-DESD_SAR-DESD_LID-disaggregated-time-averaged-space-averaged'</t>
  </si>
  <si>
    <t>'DESD_SAR-DESD_LID-disaggregated-time-averaged-syn-DESD_LID-DESD_SAR-disaggregated-space-averaged'</t>
  </si>
  <si>
    <t>'DESD_LID-DESD_SAR-disaggregated-space-averaged-syn-DESD_SAR-DESD_LID-disaggregated-time-averaged'</t>
  </si>
  <si>
    <t>'DESD_LID-DESD_SAR-disaggregated-time-averaged-syn-DESD_SAR-DESD_LID-disaggregated-time-averaged'</t>
  </si>
  <si>
    <t>'DESD_SAR-DESD_LID-disaggregated-time-averaged-syn-DESD_LID-DESD_SAR-disaggregated-time-averaged'</t>
  </si>
  <si>
    <t>'DESD_SAR-DESD_LID-disaggregated-space-averaged'</t>
  </si>
  <si>
    <t>'DESD_SAR-DESD_LID-disaggregated-space-averaged-syn-DESD_LID'</t>
  </si>
  <si>
    <t>'DESD_LID-syn-DESD_SAR-DESD_LID-disaggregated-space-averaged'</t>
  </si>
  <si>
    <t>'DESD_LID-DESD_SAR-disaggregated-syn-DESD_SAR-DESD_LID-disaggregated-space-averaged'</t>
  </si>
  <si>
    <t>'DESD_LID-DESD_SAR-disaggregated-syn-DESD_SAR-DESD_LID-disaggregated-space-averaged-time-averaged'</t>
  </si>
  <si>
    <t>'Insufficient horizontal spatial resolution (tens of km)++Insufficient horizontal spatial resolution (~hundreds of m)++Insufficient horizontal spatial resolution (~km)++Insufficient horizontal spatial resolution (~tens of m)'</t>
  </si>
  <si>
    <t>'DESD_LID-DESD_SAR-disaggregated-syn-DESD_SAR-DESD_LID-disaggregated-space-averaged-space-averaged'</t>
  </si>
  <si>
    <t>'DESD_SAR-DESD_LID-disaggregated-space-averaged-syn-DESD_LID-DESD_SAR-disaggregated'</t>
  </si>
  <si>
    <t>'DESD_LID-DESD_SAR-disaggregated-space-averaged-syn-DESD_SAR-DESD_LID-disaggregated-space-averaged'</t>
  </si>
  <si>
    <t>'DESD_SAR-DESD_LID-disaggregated-space-averaged-syn-DESD_LID-DESD_SAR-disaggregated-space-averaged'</t>
  </si>
  <si>
    <t>'DESD_LID-DESD_SAR-disaggregated-time-averaged-syn-DESD_SAR-DESD_LID-disaggregated-space-averaged'</t>
  </si>
  <si>
    <t>'DESD_SAR-DESD_LID-disaggregated-space-averaged-syn-DESD_LID-DESD_SAR-disaggregated-time-averaged'</t>
  </si>
  <si>
    <t>'Insufficient horizontal spatial resolution (~km)++Insufficient horizontal spatial resolution (~tens of m)++Insufficient horizontal spatial resolution (~hundreds of m)++Insufficient horizontal spatial resolution (tens of km)'</t>
  </si>
  <si>
    <t>'Insufficient horizontal spatial resolution (~tens of m)++Insufficient horizontal spatial resolution (~km)++Insufficient horizontal spatial resolution (~hundreds of m)++Insufficient horizontal spatial resolution (tens of km)'</t>
  </si>
  <si>
    <t>'DESD_SAR-DESD_LID-disaggregated-syn-DESD_LID-DESD_SAR-disaggregated-space-averaged'</t>
  </si>
  <si>
    <t>'DESD_LID-DESD_SAR-disaggregated-space-averaged-syn-DESD_SAR-DESD_LID-disaggregated'</t>
  </si>
  <si>
    <t>'DESD_SAR-DESD_LID-disaggregated-syn-DESD_LID-DESD_SAR-disaggregated-time-averaged'</t>
  </si>
  <si>
    <t>'DESD_LID-DESD_SAR-disaggregated-time-averaged-syn-DESD_SAR-DESD_LID-disaggregated'</t>
  </si>
  <si>
    <t>'DESD_LID-DESD_SAR-disaggregated-time-averaged'</t>
  </si>
  <si>
    <t>'DESD_SAR-syn-DESD_LID-DESD_SAR-disaggregated-time-averaged'</t>
  </si>
  <si>
    <t>'DESD_LID-DESD_SAR-disaggregated-time-averaged-syn-DESD_SAR'</t>
  </si>
  <si>
    <t>'DESD_LID-DESD_SAR-disaggregated-space-averaged'</t>
  </si>
  <si>
    <t>'DESD_LID-DESD_SAR-disaggregated-space-averaged-syn-DESD_SAR'</t>
  </si>
  <si>
    <t>'DESD_SAR-syn-DESD_LID-DESD_SAR-disaggregated-space-averaged'</t>
  </si>
  <si>
    <t>'Insufficient horizontal spatial resolution (tens of km)++Insufficient horizontal spatial resolution (~km)++Insufficient horizontal spatial resolution (~tens of m)++Insufficient horizontal spatial resolution (~hundreds of m)'</t>
  </si>
  <si>
    <t>'Insufficient horizontal spatial resolution (~km)++Insufficient horizontal spatial resolution (tens of km)++Insufficient horizontal spatial resolution (~hundreds of m)++Insufficient horizontal spatial resolution (~tens of m)'</t>
  </si>
  <si>
    <t>'Insufficient horizontal spatial resolution (~hundreds of m)++Insufficient horizontal spatial resolution (~tens of m)++Insufficient horizontal spatial resolution (tens of km)++Insufficient horizontal spatial resolution (~km)'</t>
  </si>
  <si>
    <t>'HE1-5'</t>
  </si>
  <si>
    <t>'Insufficient spatial resolution (~tens of km)++Insufficient spatial resolution (~km)++Insufficient spatial resolution (hundres of m)'</t>
  </si>
  <si>
    <t>'Insufficient spatial resolution (~tens of km)++Insufficient spatial resolution (hundres of m)++Insufficient spatial resolution (~km)'</t>
  </si>
  <si>
    <t>'SWOT_KaRIN-SWOT_RAD-disaggregated'</t>
  </si>
  <si>
    <t>'SWOT_RAD-SWOT_KaRIN-disaggregated'</t>
  </si>
  <si>
    <t>'ACE_POL-syn-ACE_LID'</t>
  </si>
  <si>
    <t>'WE4-5'</t>
  </si>
  <si>
    <t>'Comprehensive tropospheric aerosol characterization'</t>
  </si>
  <si>
    <t>'Insufficient sensitivity in the lower troposphere'</t>
  </si>
  <si>
    <t>'Insufficient sensitivity in the troposphere'</t>
  </si>
  <si>
    <t>'WE4-3'</t>
  </si>
  <si>
    <t>'HE1-13'</t>
  </si>
  <si>
    <t>'WE4-2'</t>
  </si>
  <si>
    <t>'HE1-12'</t>
  </si>
  <si>
    <t>'Insufficient temporal resolution (1-3 days)++Insufficient temporal resolution (&lt;1 week)++Insufficient temporal resolution (&gt;1 week)'</t>
  </si>
  <si>
    <t>'ACE_POL-ACE_CPR-disaggregated-syn-ACE_CPR-space-averaged'</t>
  </si>
  <si>
    <t>'ACE_POL-ACE_CPR-disaggregated-syn-ACE_CPR-time-averaged'</t>
  </si>
  <si>
    <t>'ACE_POL-syn-ACE_CPR'</t>
  </si>
  <si>
    <t>'ACE_LID-ACE_ORCA-disaggregated'</t>
  </si>
  <si>
    <t>'ACE_ORCA-ACE_LID-disaggregated'</t>
  </si>
  <si>
    <t>'ACE_POL-ACE_LID-disaggregated'</t>
  </si>
  <si>
    <t>'ACE_POL-ACE_LID-disaggregated-space-averaged'</t>
  </si>
  <si>
    <t>'ACE_POL-ACE_LID-disaggregated-space-averaged-syn-ACE_LID'</t>
  </si>
  <si>
    <t>'ACE_POL-ACE_LID-disaggregated-space-averaged-syn-ACE_CPR'</t>
  </si>
  <si>
    <t>'ACE_POL-ACE_LID-disaggregated-space-averaged-syn-ACE_CPR-ACE_POL-disaggregated'</t>
  </si>
  <si>
    <t>'ACE_POL-ACE_LID-disaggregated-space-averaged-syn-ACE_CPR-ACE_POL-disaggregated-space-averaged'</t>
  </si>
  <si>
    <t>'ACE_POL-ACE_LID-disaggregated-space-averaged-syn-ACE_CPR-ACE_POL-disaggregated-time-averaged'</t>
  </si>
  <si>
    <t>'ACE_POL-ACE_LID-disaggregated-space-averaged-syn-ACE_CPR-ACE_LID-disaggregated'</t>
  </si>
  <si>
    <t>'ACE_POL-ACE_LID-disaggregated-space-averaged-syn-ACE_LID-ACE_CPR-disaggregated'</t>
  </si>
  <si>
    <t>'ACE_POL-ACE_LID-disaggregated-space-averaged-syn-ACE_LID-ACE_POL-disaggregated'</t>
  </si>
  <si>
    <t>'ACE_POL-ACE_LID-disaggregated-space-averaged-syn-ACE_LID-ACE_POL-disaggregated-space-averaged'</t>
  </si>
  <si>
    <t>'ACE_POL-ACE_LID-disaggregated-space-averaged-syn-ACE_LID-ACE_POL-disaggregated-time-averaged'</t>
  </si>
  <si>
    <t>'ACE_POL-ACE_LID-disaggregated-syn-ACE_LID'</t>
  </si>
  <si>
    <t>'ACE_POL-ACE_LID-disaggregated-syn-ACE_CPR-space-averaged'</t>
  </si>
  <si>
    <t>'ACE_POL-ACE_LID-disaggregated-syn-ACE_CPR'</t>
  </si>
  <si>
    <t>'ACE_POL-ACE_LID-disaggregated-syn-ACE_CPR-ACE_POL-disaggregated'</t>
  </si>
  <si>
    <t>'ACE_POL-ACE_LID-disaggregated-syn-ACE_CPR-ACE_POL-disaggregated-space-averaged'</t>
  </si>
  <si>
    <t>'ACE_POL-ACE_LID-disaggregated-syn-ACE_CPR-ACE_POL-disaggregated-space-averaged-space-averaged'</t>
  </si>
  <si>
    <t>'ACE_POL-ACE_LID-disaggregated-syn-ACE_CPR-ACE_POL-disaggregated-time-averaged-space-averaged'</t>
  </si>
  <si>
    <t>'ACE_POL-ACE_LID-disaggregated-syn-ACE_CPR-ACE_POL-disaggregated-time-averaged'</t>
  </si>
  <si>
    <t>'ACE_POL-ACE_LID-disaggregated-syn-ACE_CPR-ACE_LID-disaggregated'</t>
  </si>
  <si>
    <t>'ACE_POL-ACE_LID-disaggregated-syn-ACE_CPR-ACE_LID-disaggregated-space-averaged'</t>
  </si>
  <si>
    <t>'ACE_POL-ACE_LID-disaggregated-syn-ACE_LID-ACE_CPR-disaggregated'</t>
  </si>
  <si>
    <t>'ACE_POL-ACE_LID-disaggregated-syn-ACE_LID-ACE_POL-disaggregated'</t>
  </si>
  <si>
    <t>'ACE_POL-ACE_LID-disaggregated-syn-ACE_LID-ACE_POL-disaggregated-space-averaged'</t>
  </si>
  <si>
    <t>'ACE_POL-ACE_LID-disaggregated-syn-ACE_LID-ACE_POL-disaggregated-time-averaged'</t>
  </si>
  <si>
    <t>'ACE_LID-ACE_POL-disaggregated'</t>
  </si>
  <si>
    <t>'ACE_POL-syn-ACE_LID-ACE_POL-disaggregated-time-averaged'</t>
  </si>
  <si>
    <t>'ACE_POL-ACE_CPR-disaggregated-syn-ACE_LID-ACE_POL-disaggregated-time-averaged'</t>
  </si>
  <si>
    <t>'ACE_POL-ACE_CPR-disaggregated-space-averaged-syn-ACE_LID-ACE_POL-disaggregated-time-averaged'</t>
  </si>
  <si>
    <t>'ACE_LID-ACE_POL-disaggregated-space-averaged'</t>
  </si>
  <si>
    <t>'ACE_POL-syn-ACE_LID-ACE_POL-disaggregated-space-averaged'</t>
  </si>
  <si>
    <t>'ACE_LID-ACE_POL-disaggregated-space-averaged-syn-ACE_CPR'</t>
  </si>
  <si>
    <t>'ACE_POL-ACE_CPR-disaggregated-syn-ACE_LID-ACE_POL-disaggregated-space-averaged'</t>
  </si>
  <si>
    <t>'ACE_POL-ACE_CPR-disaggregated-space-averaged-syn-ACE_LID-ACE_POL-disaggregated-space-averaged'</t>
  </si>
  <si>
    <t>'ACE_LID-ACE_POL-disaggregated-space-averaged-syn-ACE_CPR-ACE_POL-disaggregated'</t>
  </si>
  <si>
    <t>'ACE_LID-ACE_POL-disaggregated-space-averaged-syn-ACE_CPR-ACE_POL-disaggregated-space-averaged'</t>
  </si>
  <si>
    <t>'ACE_LID-ACE_POL-disaggregated-space-averaged-syn-ACE_CPR-ACE_POL-disaggregated-time-averaged'</t>
  </si>
  <si>
    <t>'ACE_LID-ACE_POL-disaggregated-space-averaged-syn-ACE_CPR-ACE_LID-disaggregated'</t>
  </si>
  <si>
    <t>'ACE_POL-syn-ACE_LID-ACE_POL-disaggregated'</t>
  </si>
  <si>
    <t>'ACE_LID-ACE_POL-disaggregated-syn-ACE_CPR'</t>
  </si>
  <si>
    <t>'ACE_LID-ACE_POL-disaggregated-syn-ACE_CPR-space-averaged'</t>
  </si>
  <si>
    <t>'ACE_POL-ACE_CPR-disaggregated-syn-ACE_LID-ACE_POL-disaggregated'</t>
  </si>
  <si>
    <t>'ACE_POL-ACE_CPR-disaggregated-space-averaged-syn-ACE_LID-ACE_POL-disaggregated'</t>
  </si>
  <si>
    <t>'ACE_LID-ACE_POL-disaggregated-syn-ACE_CPR-ACE_POL-disaggregated'</t>
  </si>
  <si>
    <t>'ACE_LID-ACE_POL-disaggregated-syn-ACE_CPR-ACE_POL-disaggregated-space-averaged'</t>
  </si>
  <si>
    <t>'ACE_LID-ACE_POL-disaggregated-syn-ACE_CPR-ACE_POL-disaggregated-space-averaged-space-averaged'</t>
  </si>
  <si>
    <t>'ACE_LID-ACE_POL-disaggregated-syn-ACE_CPR-ACE_POL-disaggregated-time-averaged'</t>
  </si>
  <si>
    <t>'ACE_LID-ACE_POL-disaggregated-syn-ACE_CPR-ACE_POL-disaggregated-time-averaged-space-averaged'</t>
  </si>
  <si>
    <t>'ACE_LID-ACE_POL-disaggregated-syn-ACE_CPR-ACE_LID-disaggregated'</t>
  </si>
  <si>
    <t>'ACE_LID-ACE_POL-disaggregated-syn-ACE_CPR-ACE_LID-disaggregated-space-averaged'</t>
  </si>
  <si>
    <t>'HE4-10'</t>
  </si>
  <si>
    <t>'HE4-1'</t>
  </si>
  <si>
    <t>'ACE_LID-ACE_CPR-disaggregated'</t>
  </si>
  <si>
    <t>'ACE_POL-syn-ACE_LID-ACE_CPR-disaggregated'</t>
  </si>
  <si>
    <t>'ACE_LID-ACE_CPR-disaggregated-syn-ACE_CPR'</t>
  </si>
  <si>
    <t>'ACE_POL-ACE_CPR-disaggregated-syn-ACE_LID-ACE_CPR-disaggregated'</t>
  </si>
  <si>
    <t>'ACE_POL-ACE_CPR-disaggregated-space-averaged-syn-ACE_LID-ACE_CPR-disaggregated'</t>
  </si>
  <si>
    <t>'ACE_LID-ACE_CPR-disaggregated-syn-ACE_CPR-ACE_POL-disaggregated'</t>
  </si>
  <si>
    <t>'ACE_LID-ACE_CPR-disaggregated-syn-ACE_CPR-ACE_POL-disaggregated-space-averaged'</t>
  </si>
  <si>
    <t>'ACE_LID-ACE_CPR-disaggregated-syn-ACE_CPR-ACE_POL-disaggregated-time-averaged'</t>
  </si>
  <si>
    <t>'ACE_LID-ACE_CPR-disaggregated-syn-ACE_CPR-ACE_LID-disaggregated'</t>
  </si>
  <si>
    <t>'ACE_CPR-ACE_LID-disaggregated'</t>
  </si>
  <si>
    <t>'ACE_POL-syn-ACE_CPR-ACE_LID-disaggregated'</t>
  </si>
  <si>
    <t>'ACE_POL-ACE_CPR-disaggregated-syn-ACE_CPR-ACE_LID-disaggregated-space-averaged'</t>
  </si>
  <si>
    <t>'ACE_POL-ACE_CPR-disaggregated-syn-ACE_CPR-ACE_LID-disaggregated'</t>
  </si>
  <si>
    <t>'ACE_POL-ACE_CPR-disaggregated-space-averaged-syn-ACE_CPR-ACE_LID-disaggregated'</t>
  </si>
  <si>
    <t>'ACE_POL-ACE_CPR-disaggregated'</t>
  </si>
  <si>
    <t>'ACE_POL-ACE_CPR-disaggregated-syn-ACE_CPR'</t>
  </si>
  <si>
    <t>'ACE_POL-ACE_CPR-disaggregated-syn-ACE_CPR-ACE_POL-disaggregated'</t>
  </si>
  <si>
    <t>'ACE_POL-ACE_CPR-disaggregated-syn-ACE_CPR-ACE_POL-disaggregated-time-averaged'</t>
  </si>
  <si>
    <t>'ACE_POL-ACE_CPR-disaggregated-syn-ACE_CPR-ACE_POL-disaggregated-space-averaged'</t>
  </si>
  <si>
    <t>'ACE_CPR-ACE_POL-disaggregated'</t>
  </si>
  <si>
    <t>'ACE_POL-syn-ACE_CPR-ACE_POL-disaggregated-time-averaged'</t>
  </si>
  <si>
    <t>'ACE_POL-ACE_CPR-disaggregated-syn-ACE_CPR-ACE_POL-disaggregated-time-averaged-space-averaged'</t>
  </si>
  <si>
    <t>'ACE_POL-ACE_CPR-disaggregated-space-averaged-syn-ACE_CPR-ACE_POL-disaggregated-time-averaged'</t>
  </si>
  <si>
    <t>'ACE_CPR-ACE_POL-disaggregated-space-averaged'</t>
  </si>
  <si>
    <t>'ACE_POL-syn-ACE_CPR-ACE_POL-disaggregated-space-averaged'</t>
  </si>
  <si>
    <t>'ACE_POL-ACE_CPR-disaggregated-syn-ACE_CPR-ACE_POL-disaggregated-space-averaged-space-averaged'</t>
  </si>
  <si>
    <t>'ACE_POL-ACE_CPR-disaggregated-space-averaged-syn-ACE_CPR-ACE_POL-disaggregated-space-averaged'</t>
  </si>
  <si>
    <t>'ACE_POL-syn-ACE_CPR-ACE_POL-disaggregated'</t>
  </si>
  <si>
    <t>'ACE_POL-ACE_CPR-disaggregated-space-averaged-syn-ACE_CPR-ACE_POL-disaggregated'</t>
  </si>
  <si>
    <t>'ACE_POL-ACE_CPR-disaggregated-space-averaged'</t>
  </si>
  <si>
    <t>'ACE_POL-ACE_CPR-disaggregated-space-averaged-syn-ACE_LID'</t>
  </si>
  <si>
    <t>'ACE_POL-ACE_CPR-disaggregated-space-averaged-syn-ACE_CPR'</t>
  </si>
  <si>
    <t>'ACE_POL-ACE_CPR-disaggregated-syn-ACE_LID'</t>
  </si>
  <si>
    <t>'SCLP_SAR'</t>
  </si>
  <si>
    <t>'SE3-2'</t>
  </si>
  <si>
    <t>'2.7.2 flood monitoring'</t>
  </si>
  <si>
    <t>'SCLP_SAR-space-averaged-time-averaged'</t>
  </si>
  <si>
    <t>'SCLP_SAR-space-averaged-space-averaged'</t>
  </si>
  <si>
    <t>'SCLP_SAR-time-averaged-space-averaged'</t>
  </si>
  <si>
    <t>'SCLP_SAR-SCLP_MWR-disaggregated-time-averaged'</t>
  </si>
  <si>
    <t>'SCLP_MWR-SCLP_SAR-disaggregated-time-averaged'</t>
  </si>
  <si>
    <t>'SCLP_SAR-SCLP_MWR-disaggregated-space-averaged-space-averaged'</t>
  </si>
  <si>
    <t>'SCLP_MWR-SCLP_SAR-disaggregated-space-averaged-space-averaged'</t>
  </si>
  <si>
    <t>'SCLP_SAR-SCLP_MWR-disaggregated'</t>
  </si>
  <si>
    <t>'SCLP_MWR-SCLP_SAR-disaggregated'</t>
  </si>
  <si>
    <t>'HE6-2'</t>
  </si>
  <si>
    <t>'1.4.1 atmospheric wind speed'</t>
  </si>
  <si>
    <t>'3D_NCLID'</t>
  </si>
  <si>
    <t>'Insufficient temporal resolution (&gt;1 week)++Insufficient temporal resolution (&lt;1 week)'</t>
  </si>
  <si>
    <t>'3D_CLID'</t>
  </si>
  <si>
    <t>'3D_CLID-3D_NCLID-disaggregated'</t>
  </si>
  <si>
    <t>'3D_NCLID-3D_CLID-disaggregated'</t>
  </si>
  <si>
    <t>'LIST_LID'</t>
  </si>
  <si>
    <t>weighted panel scores chart</t>
  </si>
  <si>
    <t>mean</t>
  </si>
  <si>
    <t>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</si>
</sst>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.0_);_(* \(#,##0.0\);_(* &quot;-&quot;??_);_(@_)"/>
    <numFmt numFmtId="166" formatCode="0.0"/>
    <numFmt numFmtId="167" formatCode="_(* #,##0.0_);_(* \(#,##0.0\);_(* &quot;-&quot;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Times New Roman"/>
      <family val="1"/>
    </font>
    <font>
      <sz val="1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1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2" xfId="1" applyNumberFormat="1" applyFont="1" applyBorder="1"/>
    <xf numFmtId="164" fontId="0" fillId="0" borderId="3" xfId="1" applyNumberFormat="1" applyFont="1" applyBorder="1"/>
    <xf numFmtId="164" fontId="0" fillId="0" borderId="5" xfId="1" applyNumberFormat="1" applyFont="1" applyBorder="1"/>
    <xf numFmtId="164" fontId="0" fillId="0" borderId="6" xfId="1" applyNumberFormat="1" applyFont="1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0" xfId="0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 applyAlignment="1">
      <alignment wrapText="1"/>
    </xf>
    <xf numFmtId="0" fontId="0" fillId="0" borderId="7" xfId="0" applyFont="1" applyBorder="1"/>
    <xf numFmtId="0" fontId="0" fillId="0" borderId="8" xfId="0" applyFont="1" applyBorder="1"/>
    <xf numFmtId="0" fontId="0" fillId="0" borderId="0" xfId="0" applyFont="1"/>
    <xf numFmtId="0" fontId="0" fillId="0" borderId="7" xfId="0" applyBorder="1"/>
    <xf numFmtId="0" fontId="0" fillId="0" borderId="8" xfId="0" applyBorder="1"/>
    <xf numFmtId="0" fontId="0" fillId="0" borderId="0" xfId="0" applyNumberFormat="1" applyFont="1" applyAlignment="1">
      <alignment wrapText="1"/>
    </xf>
    <xf numFmtId="0" fontId="0" fillId="0" borderId="9" xfId="0" applyBorder="1" applyAlignment="1">
      <alignment wrapText="1"/>
    </xf>
    <xf numFmtId="0" fontId="0" fillId="0" borderId="0" xfId="0" applyFont="1" applyAlignment="1">
      <alignment wrapText="1"/>
    </xf>
    <xf numFmtId="0" fontId="2" fillId="2" borderId="4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10" xfId="0" applyBorder="1"/>
    <xf numFmtId="0" fontId="0" fillId="0" borderId="0" xfId="0" applyBorder="1"/>
    <xf numFmtId="0" fontId="0" fillId="0" borderId="0" xfId="0" applyFont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10" fontId="0" fillId="0" borderId="0" xfId="1" applyNumberFormat="1" applyFont="1" applyBorder="1"/>
    <xf numFmtId="10" fontId="1" fillId="0" borderId="0" xfId="1" applyNumberFormat="1" applyFont="1" applyBorder="1"/>
    <xf numFmtId="43" fontId="1" fillId="0" borderId="0" xfId="2" applyFont="1" applyBorder="1"/>
    <xf numFmtId="165" fontId="0" fillId="0" borderId="11" xfId="0" applyNumberFormat="1" applyBorder="1"/>
    <xf numFmtId="165" fontId="0" fillId="0" borderId="0" xfId="0" applyNumberFormat="1" applyFill="1"/>
    <xf numFmtId="10" fontId="0" fillId="4" borderId="8" xfId="1" applyNumberFormat="1" applyFont="1" applyFill="1" applyBorder="1"/>
    <xf numFmtId="0" fontId="4" fillId="0" borderId="0" xfId="0" applyFont="1"/>
    <xf numFmtId="10" fontId="0" fillId="0" borderId="8" xfId="1" applyNumberFormat="1" applyFont="1" applyFill="1" applyBorder="1"/>
    <xf numFmtId="0" fontId="3" fillId="5" borderId="10" xfId="0" applyFont="1" applyFill="1" applyBorder="1"/>
    <xf numFmtId="9" fontId="0" fillId="0" borderId="0" xfId="1" applyFont="1"/>
    <xf numFmtId="166" fontId="0" fillId="0" borderId="0" xfId="0" applyNumberFormat="1"/>
    <xf numFmtId="0" fontId="3" fillId="5" borderId="4" xfId="0" applyFont="1" applyFill="1" applyBorder="1"/>
    <xf numFmtId="10" fontId="1" fillId="0" borderId="5" xfId="1" applyNumberFormat="1" applyFont="1" applyBorder="1"/>
    <xf numFmtId="43" fontId="1" fillId="0" borderId="5" xfId="2" applyFont="1" applyBorder="1"/>
    <xf numFmtId="165" fontId="0" fillId="0" borderId="6" xfId="0" applyNumberFormat="1" applyBorder="1"/>
    <xf numFmtId="0" fontId="0" fillId="0" borderId="0" xfId="0" applyFill="1"/>
    <xf numFmtId="10" fontId="0" fillId="0" borderId="0" xfId="1" applyNumberFormat="1" applyFont="1"/>
    <xf numFmtId="10" fontId="1" fillId="0" borderId="0" xfId="1" applyNumberFormat="1" applyFont="1"/>
    <xf numFmtId="43" fontId="1" fillId="0" borderId="0" xfId="2" applyFont="1"/>
    <xf numFmtId="165" fontId="0" fillId="0" borderId="0" xfId="0" applyNumberFormat="1"/>
    <xf numFmtId="167" fontId="0" fillId="0" borderId="0" xfId="0" applyNumberFormat="1"/>
    <xf numFmtId="0" fontId="0" fillId="0" borderId="0" xfId="0" applyBorder="1" applyAlignment="1">
      <alignment horizontal="left" vertical="center"/>
    </xf>
    <xf numFmtId="43" fontId="0" fillId="0" borderId="0" xfId="0" applyNumberFormat="1"/>
    <xf numFmtId="37" fontId="0" fillId="0" borderId="0" xfId="3" applyNumberFormat="1" applyFont="1"/>
    <xf numFmtId="37" fontId="1" fillId="0" borderId="0" xfId="3" applyNumberFormat="1" applyFont="1" applyBorder="1"/>
    <xf numFmtId="37" fontId="1" fillId="0" borderId="0" xfId="3" applyNumberFormat="1" applyFont="1" applyFill="1" applyBorder="1"/>
    <xf numFmtId="0" fontId="2" fillId="3" borderId="9" xfId="0" applyFont="1" applyFill="1" applyBorder="1"/>
    <xf numFmtId="0" fontId="0" fillId="0" borderId="0" xfId="0" applyAlignment="1">
      <alignment horizontal="left" vertical="center" wrapText="1"/>
    </xf>
    <xf numFmtId="0" fontId="0" fillId="0" borderId="0" xfId="0" quotePrefix="1" applyAlignment="1">
      <alignment horizontal="left" vertical="center" wrapText="1"/>
    </xf>
    <xf numFmtId="0" fontId="3" fillId="0" borderId="0" xfId="0" applyFont="1" applyFill="1" applyBorder="1"/>
    <xf numFmtId="0" fontId="3" fillId="0" borderId="14" xfId="0" applyFont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4" fontId="0" fillId="0" borderId="12" xfId="1" applyNumberFormat="1" applyFont="1" applyBorder="1" applyAlignment="1">
      <alignment horizontal="right" vertical="center"/>
    </xf>
    <xf numFmtId="37" fontId="0" fillId="0" borderId="12" xfId="3" applyNumberFormat="1" applyFont="1" applyBorder="1" applyAlignment="1">
      <alignment horizontal="right" vertical="center"/>
    </xf>
    <xf numFmtId="37" fontId="1" fillId="0" borderId="12" xfId="3" applyNumberFormat="1" applyFont="1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37" fontId="1" fillId="0" borderId="12" xfId="3" applyNumberFormat="1" applyFont="1" applyFill="1" applyBorder="1" applyAlignment="1">
      <alignment horizontal="right" vertical="center"/>
    </xf>
    <xf numFmtId="164" fontId="0" fillId="0" borderId="19" xfId="1" applyNumberFormat="1" applyFont="1" applyBorder="1" applyAlignment="1">
      <alignment horizontal="right" vertical="center"/>
    </xf>
    <xf numFmtId="37" fontId="0" fillId="0" borderId="19" xfId="3" applyNumberFormat="1" applyFont="1" applyBorder="1" applyAlignment="1">
      <alignment horizontal="right" vertical="center"/>
    </xf>
    <xf numFmtId="37" fontId="1" fillId="0" borderId="19" xfId="3" applyNumberFormat="1" applyFont="1" applyFill="1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right" vertical="center"/>
    </xf>
    <xf numFmtId="0" fontId="5" fillId="3" borderId="7" xfId="0" applyFont="1" applyFill="1" applyBorder="1" applyAlignment="1">
      <alignment wrapText="1"/>
    </xf>
    <xf numFmtId="0" fontId="5" fillId="3" borderId="8" xfId="0" applyFont="1" applyFill="1" applyBorder="1" applyAlignment="1">
      <alignment wrapText="1"/>
    </xf>
    <xf numFmtId="0" fontId="5" fillId="3" borderId="9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6" fillId="0" borderId="0" xfId="0" quotePrefix="1" applyFont="1" applyAlignment="1">
      <alignment wrapText="1"/>
    </xf>
    <xf numFmtId="37" fontId="1" fillId="0" borderId="19" xfId="3" applyNumberFormat="1" applyFont="1" applyBorder="1" applyAlignment="1">
      <alignment horizontal="right" vertical="center"/>
    </xf>
    <xf numFmtId="0" fontId="0" fillId="0" borderId="0" xfId="0" applyFont="1" applyBorder="1"/>
    <xf numFmtId="0" fontId="0" fillId="0" borderId="0" xfId="0" applyBorder="1" applyAlignment="1">
      <alignment wrapText="1"/>
    </xf>
    <xf numFmtId="0" fontId="0" fillId="0" borderId="9" xfId="0" applyFont="1" applyBorder="1" applyAlignment="1">
      <alignment wrapText="1"/>
    </xf>
    <xf numFmtId="0" fontId="0" fillId="0" borderId="0" xfId="0" applyNumberFormat="1" applyFont="1" applyBorder="1" applyAlignment="1">
      <alignment wrapText="1"/>
    </xf>
    <xf numFmtId="0" fontId="3" fillId="0" borderId="0" xfId="0" applyFont="1" applyFill="1" applyBorder="1" applyAlignment="1">
      <alignment horizontal="center" vertical="center"/>
    </xf>
    <xf numFmtId="164" fontId="0" fillId="0" borderId="0" xfId="1" applyNumberFormat="1" applyFont="1"/>
    <xf numFmtId="164" fontId="3" fillId="0" borderId="16" xfId="1" applyNumberFormat="1" applyFont="1" applyBorder="1" applyAlignment="1">
      <alignment horizontal="center" vertical="center"/>
    </xf>
    <xf numFmtId="164" fontId="3" fillId="0" borderId="18" xfId="1" applyNumberFormat="1" applyFont="1" applyBorder="1" applyAlignment="1">
      <alignment horizontal="center" vertical="center"/>
    </xf>
    <xf numFmtId="9" fontId="0" fillId="0" borderId="0" xfId="0" applyNumberFormat="1"/>
    <xf numFmtId="43" fontId="0" fillId="0" borderId="0" xfId="2" applyFont="1"/>
    <xf numFmtId="2" fontId="0" fillId="0" borderId="0" xfId="0" applyNumberFormat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9" fontId="0" fillId="0" borderId="5" xfId="1" applyFont="1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4">
    <cellStyle name="Comma" xfId="2" builtinId="3"/>
    <cellStyle name="Currency" xfId="3" builtinId="4"/>
    <cellStyle name="Normal" xfId="0" builtinId="0"/>
    <cellStyle name="Percent" xfId="1" builtinId="5"/>
  </cellStyles>
  <dxfs count="9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'New results'!$I$23</c:f>
              <c:strCache>
                <c:ptCount val="1"/>
                <c:pt idx="0">
                  <c:v>Weighted average</c:v>
                </c:pt>
              </c:strCache>
            </c:strRef>
          </c:tx>
          <c:invertIfNegative val="0"/>
          <c:cat>
            <c:strRef>
              <c:f>'New results'!$A$24:$A$40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results'!$I$24:$I$40</c:f>
              <c:numCache>
                <c:formatCode>0.0%</c:formatCode>
                <c:ptCount val="17"/>
                <c:pt idx="0">
                  <c:v>0.14971052741111116</c:v>
                </c:pt>
                <c:pt idx="1">
                  <c:v>0.14540265777777781</c:v>
                </c:pt>
                <c:pt idx="2">
                  <c:v>0.13979236627936503</c:v>
                </c:pt>
                <c:pt idx="3">
                  <c:v>0.11773093828571418</c:v>
                </c:pt>
                <c:pt idx="4">
                  <c:v>0.11507754466666663</c:v>
                </c:pt>
                <c:pt idx="5">
                  <c:v>9.0001552777777716E-2</c:v>
                </c:pt>
                <c:pt idx="6">
                  <c:v>8.8582146666666667E-2</c:v>
                </c:pt>
                <c:pt idx="7">
                  <c:v>6.4296400000000004E-2</c:v>
                </c:pt>
                <c:pt idx="8">
                  <c:v>5.5768399999999996E-2</c:v>
                </c:pt>
                <c:pt idx="9">
                  <c:v>5.351173155555556E-2</c:v>
                </c:pt>
                <c:pt idx="10">
                  <c:v>5.3291696666666659E-2</c:v>
                </c:pt>
                <c:pt idx="11">
                  <c:v>5.0875266666666599E-2</c:v>
                </c:pt>
                <c:pt idx="12">
                  <c:v>4.994479999999997E-2</c:v>
                </c:pt>
                <c:pt idx="13">
                  <c:v>4.1963125000000004E-2</c:v>
                </c:pt>
                <c:pt idx="14">
                  <c:v>2.7778933333333339E-2</c:v>
                </c:pt>
                <c:pt idx="15">
                  <c:v>1.4729099399999999E-2</c:v>
                </c:pt>
                <c:pt idx="16">
                  <c:v>1.0277777777777778E-3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870912"/>
        <c:axId val="70872448"/>
      </c:barChart>
      <c:catAx>
        <c:axId val="7087091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0872448"/>
        <c:crosses val="autoZero"/>
        <c:auto val="1"/>
        <c:lblAlgn val="ctr"/>
        <c:lblOffset val="100"/>
        <c:noMultiLvlLbl val="0"/>
      </c:catAx>
      <c:valAx>
        <c:axId val="70872448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08709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'New results'!$M$44</c:f>
              <c:strCache>
                <c:ptCount val="1"/>
                <c:pt idx="0">
                  <c:v>unweighted science/initial cost</c:v>
                </c:pt>
              </c:strCache>
            </c:strRef>
          </c:tx>
          <c:invertIfNegative val="0"/>
          <c:cat>
            <c:strRef>
              <c:f>'New results'!$A$45:$A$61</c:f>
              <c:strCache>
                <c:ptCount val="17"/>
                <c:pt idx="0">
                  <c:v>HYSPIRI</c:v>
                </c:pt>
                <c:pt idx="1">
                  <c:v>GPSRO</c:v>
                </c:pt>
                <c:pt idx="2">
                  <c:v>SWOT</c:v>
                </c:pt>
                <c:pt idx="3">
                  <c:v>ICESAT-II</c:v>
                </c:pt>
                <c:pt idx="4">
                  <c:v>DESDYNI</c:v>
                </c:pt>
                <c:pt idx="5">
                  <c:v>CLARREO</c:v>
                </c:pt>
                <c:pt idx="6">
                  <c:v>SMAP</c:v>
                </c:pt>
                <c:pt idx="7">
                  <c:v>GACM</c:v>
                </c:pt>
                <c:pt idx="8">
                  <c:v>LIST</c:v>
                </c:pt>
                <c:pt idx="9">
                  <c:v>GEO-CAPE</c:v>
                </c:pt>
                <c:pt idx="10">
                  <c:v>GRACE-II</c:v>
                </c:pt>
                <c:pt idx="11">
                  <c:v>ACE</c:v>
                </c:pt>
                <c:pt idx="12">
                  <c:v>SCLP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results'!$M$45:$M$61</c:f>
              <c:numCache>
                <c:formatCode>0.00</c:formatCode>
                <c:ptCount val="17"/>
                <c:pt idx="0">
                  <c:v>0.53216687242798377</c:v>
                </c:pt>
                <c:pt idx="1">
                  <c:v>0.3470833333333333</c:v>
                </c:pt>
                <c:pt idx="2">
                  <c:v>0.30333197530864187</c:v>
                </c:pt>
                <c:pt idx="3">
                  <c:v>0.27182160493827162</c:v>
                </c:pt>
                <c:pt idx="4">
                  <c:v>0.21267547045855395</c:v>
                </c:pt>
                <c:pt idx="5">
                  <c:v>0.20269444444444421</c:v>
                </c:pt>
                <c:pt idx="6">
                  <c:v>0.19843399176954732</c:v>
                </c:pt>
                <c:pt idx="7">
                  <c:v>0.19248286706349194</c:v>
                </c:pt>
                <c:pt idx="8">
                  <c:v>0.18447222222222209</c:v>
                </c:pt>
                <c:pt idx="9">
                  <c:v>0.17171801346801335</c:v>
                </c:pt>
                <c:pt idx="10">
                  <c:v>0.16218518518518518</c:v>
                </c:pt>
                <c:pt idx="11">
                  <c:v>0.14762839803791883</c:v>
                </c:pt>
                <c:pt idx="12">
                  <c:v>0.11101611111111109</c:v>
                </c:pt>
                <c:pt idx="13">
                  <c:v>8.6197916666666666E-2</c:v>
                </c:pt>
                <c:pt idx="14">
                  <c:v>5.302880658436214E-2</c:v>
                </c:pt>
                <c:pt idx="15">
                  <c:v>3.4801142857142857E-2</c:v>
                </c:pt>
                <c:pt idx="16">
                  <c:v>2.3741690408357078E-3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879872"/>
        <c:axId val="70893952"/>
      </c:barChart>
      <c:catAx>
        <c:axId val="708798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0893952"/>
        <c:crosses val="autoZero"/>
        <c:auto val="1"/>
        <c:lblAlgn val="ctr"/>
        <c:lblOffset val="100"/>
        <c:noMultiLvlLbl val="0"/>
      </c:catAx>
      <c:valAx>
        <c:axId val="70893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Science "utils" per $B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08798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'New results'!$N$66</c:f>
              <c:strCache>
                <c:ptCount val="1"/>
                <c:pt idx="0">
                  <c:v>weighted_science/latest</c:v>
                </c:pt>
              </c:strCache>
            </c:strRef>
          </c:tx>
          <c:invertIfNegative val="0"/>
          <c:cat>
            <c:strRef>
              <c:f>'New results'!$A$67:$A$83</c:f>
              <c:strCache>
                <c:ptCount val="17"/>
                <c:pt idx="0">
                  <c:v>GPSRO</c:v>
                </c:pt>
                <c:pt idx="1">
                  <c:v>HYSPIRI</c:v>
                </c:pt>
                <c:pt idx="2">
                  <c:v>ICESAT-II</c:v>
                </c:pt>
                <c:pt idx="3">
                  <c:v>SWOT</c:v>
                </c:pt>
                <c:pt idx="4">
                  <c:v>SMAP</c:v>
                </c:pt>
                <c:pt idx="5">
                  <c:v>GRACE-II</c:v>
                </c:pt>
                <c:pt idx="6">
                  <c:v>GACM</c:v>
                </c:pt>
                <c:pt idx="7">
                  <c:v>SCLP</c:v>
                </c:pt>
                <c:pt idx="8">
                  <c:v>DESDYNI</c:v>
                </c:pt>
                <c:pt idx="9">
                  <c:v>ACE</c:v>
                </c:pt>
                <c:pt idx="10">
                  <c:v>CLARREO</c:v>
                </c:pt>
                <c:pt idx="11">
                  <c:v>ASCENDS</c:v>
                </c:pt>
                <c:pt idx="12">
                  <c:v>LIST</c:v>
                </c:pt>
                <c:pt idx="13">
                  <c:v>GEO-CAPE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results'!$N$67:$N$83</c:f>
              <c:numCache>
                <c:formatCode>0.00</c:formatCode>
                <c:ptCount val="17"/>
                <c:pt idx="0">
                  <c:v>0.41481548387096778</c:v>
                </c:pt>
                <c:pt idx="1">
                  <c:v>0.32168729596853496</c:v>
                </c:pt>
                <c:pt idx="2">
                  <c:v>0.14593434376716091</c:v>
                </c:pt>
                <c:pt idx="3">
                  <c:v>0.14384693083333328</c:v>
                </c:pt>
                <c:pt idx="4">
                  <c:v>0.13581657755217147</c:v>
                </c:pt>
                <c:pt idx="5">
                  <c:v>0.11840424628450105</c:v>
                </c:pt>
                <c:pt idx="6">
                  <c:v>0.11353031657253056</c:v>
                </c:pt>
                <c:pt idx="7">
                  <c:v>0.10408534505208332</c:v>
                </c:pt>
                <c:pt idx="8">
                  <c:v>8.911340917328045E-2</c:v>
                </c:pt>
                <c:pt idx="9">
                  <c:v>8.5867546854646815E-2</c:v>
                </c:pt>
                <c:pt idx="10">
                  <c:v>8.4792111111110999E-2</c:v>
                </c:pt>
                <c:pt idx="11">
                  <c:v>8.3926250000000008E-2</c:v>
                </c:pt>
                <c:pt idx="12">
                  <c:v>8.1876721311475359E-2</c:v>
                </c:pt>
                <c:pt idx="13">
                  <c:v>7.0534132270985664E-2</c:v>
                </c:pt>
                <c:pt idx="14">
                  <c:v>5.3318490083173395E-2</c:v>
                </c:pt>
                <c:pt idx="15">
                  <c:v>4.0800829362880882E-2</c:v>
                </c:pt>
                <c:pt idx="16">
                  <c:v>1.2879420774157618E-3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229184"/>
        <c:axId val="107230720"/>
      </c:barChart>
      <c:catAx>
        <c:axId val="10722918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7230720"/>
        <c:crosses val="autoZero"/>
        <c:auto val="1"/>
        <c:lblAlgn val="ctr"/>
        <c:lblOffset val="100"/>
        <c:noMultiLvlLbl val="0"/>
      </c:catAx>
      <c:valAx>
        <c:axId val="107230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Science "utils" per $B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7229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'New results'!$B$106</c:f>
              <c:strCache>
                <c:ptCount val="1"/>
                <c:pt idx="0">
                  <c:v>Weather</c:v>
                </c:pt>
              </c:strCache>
            </c:strRef>
          </c:tx>
          <c:invertIfNegative val="0"/>
          <c:cat>
            <c:strRef>
              <c:f>'New results'!$A$107:$A$123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results'!$B$107:$B$123</c:f>
              <c:numCache>
                <c:formatCode>_(* #,##0.00_);_(* \(#,##0.00\);_(* "-"??_);_(@_)</c:formatCode>
                <c:ptCount val="17"/>
                <c:pt idx="0">
                  <c:v>0</c:v>
                </c:pt>
                <c:pt idx="1">
                  <c:v>2.0579666666666672E-3</c:v>
                </c:pt>
                <c:pt idx="2">
                  <c:v>3.2633112723809539E-2</c:v>
                </c:pt>
                <c:pt idx="3">
                  <c:v>3.5268713285714196E-2</c:v>
                </c:pt>
                <c:pt idx="4">
                  <c:v>0</c:v>
                </c:pt>
                <c:pt idx="5">
                  <c:v>2.9256177777777753E-2</c:v>
                </c:pt>
                <c:pt idx="6">
                  <c:v>3.0869500000000002E-3</c:v>
                </c:pt>
                <c:pt idx="7">
                  <c:v>4.11522E-2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2.05761E-2</c:v>
                </c:pt>
                <c:pt idx="12">
                  <c:v>0</c:v>
                </c:pt>
                <c:pt idx="13">
                  <c:v>0</c:v>
                </c:pt>
                <c:pt idx="14">
                  <c:v>2.4695600000000002E-2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1"/>
          <c:order val="1"/>
          <c:tx>
            <c:strRef>
              <c:f>'New results'!$C$106</c:f>
              <c:strCache>
                <c:ptCount val="1"/>
                <c:pt idx="0">
                  <c:v>Climate</c:v>
                </c:pt>
              </c:strCache>
            </c:strRef>
          </c:tx>
          <c:invertIfNegative val="0"/>
          <c:cat>
            <c:strRef>
              <c:f>'New results'!$A$107:$A$123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results'!$C$107:$C$123</c:f>
              <c:numCache>
                <c:formatCode>_(* #,##0.00_);_(* \(#,##0.00\);_(* "-"??_);_(@_)</c:formatCode>
                <c:ptCount val="17"/>
                <c:pt idx="0">
                  <c:v>5.0661109633333395E-2</c:v>
                </c:pt>
                <c:pt idx="1">
                  <c:v>1.6965129999999998E-2</c:v>
                </c:pt>
                <c:pt idx="2">
                  <c:v>6.3901989666666603E-2</c:v>
                </c:pt>
                <c:pt idx="3">
                  <c:v>2.1206412500000001E-2</c:v>
                </c:pt>
                <c:pt idx="4">
                  <c:v>1.1388298E-2</c:v>
                </c:pt>
                <c:pt idx="5">
                  <c:v>0</c:v>
                </c:pt>
                <c:pt idx="6">
                  <c:v>3.6353849999999993E-2</c:v>
                </c:pt>
                <c:pt idx="7">
                  <c:v>1.8179499999999998E-2</c:v>
                </c:pt>
                <c:pt idx="8">
                  <c:v>6.0563999999999991E-3</c:v>
                </c:pt>
                <c:pt idx="9">
                  <c:v>2.0591759999999998E-3</c:v>
                </c:pt>
                <c:pt idx="10">
                  <c:v>1.615211666666666E-2</c:v>
                </c:pt>
                <c:pt idx="11">
                  <c:v>3.0299166666666599E-2</c:v>
                </c:pt>
                <c:pt idx="12">
                  <c:v>8.0786333333333401E-3</c:v>
                </c:pt>
                <c:pt idx="13">
                  <c:v>0</c:v>
                </c:pt>
                <c:pt idx="14">
                  <c:v>0</c:v>
                </c:pt>
                <c:pt idx="15">
                  <c:v>1.3712369399999999E-2</c:v>
                </c:pt>
                <c:pt idx="16">
                  <c:v>0</c:v>
                </c:pt>
              </c:numCache>
            </c:numRef>
          </c:val>
        </c:ser>
        <c:ser>
          <c:idx val="2"/>
          <c:order val="2"/>
          <c:tx>
            <c:strRef>
              <c:f>'New results'!$D$106</c:f>
              <c:strCache>
                <c:ptCount val="1"/>
                <c:pt idx="0">
                  <c:v>Land</c:v>
                </c:pt>
              </c:strCache>
            </c:strRef>
          </c:tx>
          <c:invertIfNegative val="0"/>
          <c:cat>
            <c:strRef>
              <c:f>'New results'!$A$107:$A$123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results'!$D$107:$D$123</c:f>
              <c:numCache>
                <c:formatCode>_(* #,##0.00_);_(* \(#,##0.00\);_(* "-"??_);_(@_)</c:formatCode>
                <c:ptCount val="17"/>
                <c:pt idx="0">
                  <c:v>4.9439999999999998E-2</c:v>
                </c:pt>
                <c:pt idx="1">
                  <c:v>5.7680000000000002E-2</c:v>
                </c:pt>
                <c:pt idx="2">
                  <c:v>3.4608E-2</c:v>
                </c:pt>
                <c:pt idx="3">
                  <c:v>3.0487999999999998E-2</c:v>
                </c:pt>
                <c:pt idx="4">
                  <c:v>6.5260799999999992E-3</c:v>
                </c:pt>
                <c:pt idx="5">
                  <c:v>2.4719999999999999E-2</c:v>
                </c:pt>
                <c:pt idx="6">
                  <c:v>2.9663999999999996E-2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1.9775999999999998E-2</c:v>
                </c:pt>
                <c:pt idx="13">
                  <c:v>4.1200000000000001E-2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ser>
          <c:idx val="3"/>
          <c:order val="3"/>
          <c:tx>
            <c:strRef>
              <c:f>'New results'!$E$106</c:f>
              <c:strCache>
                <c:ptCount val="1"/>
                <c:pt idx="0">
                  <c:v>Water</c:v>
                </c:pt>
              </c:strCache>
            </c:strRef>
          </c:tx>
          <c:invertIfNegative val="0"/>
          <c:cat>
            <c:strRef>
              <c:f>'New results'!$A$107:$A$123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results'!$E$107:$E$123</c:f>
              <c:numCache>
                <c:formatCode>_(* #,##0.00_);_(* \(#,##0.00\);_(* "-"??_);_(@_)</c:formatCode>
                <c:ptCount val="17"/>
                <c:pt idx="0">
                  <c:v>1.875276E-2</c:v>
                </c:pt>
                <c:pt idx="1">
                  <c:v>1.6126499999999998E-2</c:v>
                </c:pt>
                <c:pt idx="2">
                  <c:v>0</c:v>
                </c:pt>
                <c:pt idx="3">
                  <c:v>0</c:v>
                </c:pt>
                <c:pt idx="4">
                  <c:v>5.9966400000000003E-2</c:v>
                </c:pt>
                <c:pt idx="5">
                  <c:v>5.6159999999999995E-3</c:v>
                </c:pt>
                <c:pt idx="6">
                  <c:v>9.2429999999999995E-3</c:v>
                </c:pt>
                <c:pt idx="7">
                  <c:v>4.9646999999999998E-3</c:v>
                </c:pt>
                <c:pt idx="8">
                  <c:v>1.9109999999999999E-2</c:v>
                </c:pt>
                <c:pt idx="9">
                  <c:v>4.4771999999999999E-2</c:v>
                </c:pt>
                <c:pt idx="10">
                  <c:v>3.1496400000000001E-2</c:v>
                </c:pt>
                <c:pt idx="11">
                  <c:v>0</c:v>
                </c:pt>
                <c:pt idx="12">
                  <c:v>3.2760000000000003E-3</c:v>
                </c:pt>
                <c:pt idx="13">
                  <c:v>0</c:v>
                </c:pt>
                <c:pt idx="14">
                  <c:v>0</c:v>
                </c:pt>
                <c:pt idx="15">
                  <c:v>1.01673E-3</c:v>
                </c:pt>
                <c:pt idx="16">
                  <c:v>0</c:v>
                </c:pt>
              </c:numCache>
            </c:numRef>
          </c:val>
        </c:ser>
        <c:ser>
          <c:idx val="4"/>
          <c:order val="4"/>
          <c:tx>
            <c:strRef>
              <c:f>'New results'!$F$106</c:f>
              <c:strCache>
                <c:ptCount val="1"/>
                <c:pt idx="0">
                  <c:v>Health</c:v>
                </c:pt>
              </c:strCache>
            </c:strRef>
          </c:tx>
          <c:invertIfNegative val="0"/>
          <c:cat>
            <c:strRef>
              <c:f>'New results'!$A$107:$A$123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results'!$F$107:$F$123</c:f>
              <c:numCache>
                <c:formatCode>_(* #,##0.00_);_(* \(#,##0.00\);_(* "-"??_);_(@_)</c:formatCode>
                <c:ptCount val="17"/>
                <c:pt idx="0">
                  <c:v>3.8027777777777825E-3</c:v>
                </c:pt>
                <c:pt idx="1">
                  <c:v>2.6079861111111144E-2</c:v>
                </c:pt>
                <c:pt idx="2">
                  <c:v>8.6492638888888886E-3</c:v>
                </c:pt>
                <c:pt idx="3">
                  <c:v>3.0767812499999998E-2</c:v>
                </c:pt>
                <c:pt idx="4">
                  <c:v>0</c:v>
                </c:pt>
                <c:pt idx="5">
                  <c:v>3.0409374999999968E-2</c:v>
                </c:pt>
                <c:pt idx="6">
                  <c:v>1.541666666666668E-3</c:v>
                </c:pt>
                <c:pt idx="7">
                  <c:v>0</c:v>
                </c:pt>
                <c:pt idx="8">
                  <c:v>0</c:v>
                </c:pt>
                <c:pt idx="9">
                  <c:v>6.6805555555555576E-3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7.6312500000000002E-4</c:v>
                </c:pt>
                <c:pt idx="14">
                  <c:v>3.0833333333333359E-3</c:v>
                </c:pt>
                <c:pt idx="15">
                  <c:v>0</c:v>
                </c:pt>
                <c:pt idx="16">
                  <c:v>1.0277777777777778E-3</c:v>
                </c:pt>
              </c:numCache>
            </c:numRef>
          </c:val>
        </c:ser>
        <c:ser>
          <c:idx val="5"/>
          <c:order val="5"/>
          <c:tx>
            <c:strRef>
              <c:f>'New results'!$G$106</c:f>
              <c:strCache>
                <c:ptCount val="1"/>
                <c:pt idx="0">
                  <c:v>Solid Earth</c:v>
                </c:pt>
              </c:strCache>
            </c:strRef>
          </c:tx>
          <c:invertIfNegative val="0"/>
          <c:cat>
            <c:strRef>
              <c:f>'New results'!$A$107:$A$123</c:f>
              <c:strCache>
                <c:ptCount val="17"/>
                <c:pt idx="0">
                  <c:v>DESDYNI</c:v>
                </c:pt>
                <c:pt idx="1">
                  <c:v>HYSPIRI</c:v>
                </c:pt>
                <c:pt idx="2">
                  <c:v>ACE</c:v>
                </c:pt>
                <c:pt idx="3">
                  <c:v>GACM</c:v>
                </c:pt>
                <c:pt idx="4">
                  <c:v>SWOT</c:v>
                </c:pt>
                <c:pt idx="5">
                  <c:v>GEO-CAPE</c:v>
                </c:pt>
                <c:pt idx="6">
                  <c:v>ICESAT-II</c:v>
                </c:pt>
                <c:pt idx="7">
                  <c:v>GPSRO</c:v>
                </c:pt>
                <c:pt idx="8">
                  <c:v>GRACE-II</c:v>
                </c:pt>
                <c:pt idx="9">
                  <c:v>SMAP</c:v>
                </c:pt>
                <c:pt idx="10">
                  <c:v>SCLP</c:v>
                </c:pt>
                <c:pt idx="11">
                  <c:v>CLARREO</c:v>
                </c:pt>
                <c:pt idx="12">
                  <c:v>LIST</c:v>
                </c:pt>
                <c:pt idx="13">
                  <c:v>ASCENDS</c:v>
                </c:pt>
                <c:pt idx="14">
                  <c:v>PATH</c:v>
                </c:pt>
                <c:pt idx="15">
                  <c:v>XOVWM</c:v>
                </c:pt>
                <c:pt idx="16">
                  <c:v>3D-WINDS</c:v>
                </c:pt>
              </c:strCache>
            </c:strRef>
          </c:cat>
          <c:val>
            <c:numRef>
              <c:f>'New results'!$G$107:$G$123</c:f>
              <c:numCache>
                <c:formatCode>_(* #,##0.00_);_(* \(#,##0.00\);_(* "-"??_);_(@_)</c:formatCode>
                <c:ptCount val="17"/>
                <c:pt idx="0">
                  <c:v>2.7053879999999999E-2</c:v>
                </c:pt>
                <c:pt idx="1">
                  <c:v>2.6493199999999998E-2</c:v>
                </c:pt>
                <c:pt idx="2">
                  <c:v>0</c:v>
                </c:pt>
                <c:pt idx="3">
                  <c:v>0</c:v>
                </c:pt>
                <c:pt idx="4">
                  <c:v>3.7196766666666631E-2</c:v>
                </c:pt>
                <c:pt idx="5">
                  <c:v>0</c:v>
                </c:pt>
                <c:pt idx="6">
                  <c:v>8.6926800000000012E-3</c:v>
                </c:pt>
                <c:pt idx="7">
                  <c:v>0</c:v>
                </c:pt>
                <c:pt idx="8">
                  <c:v>3.0601999999999997E-2</c:v>
                </c:pt>
                <c:pt idx="9">
                  <c:v>0</c:v>
                </c:pt>
                <c:pt idx="10">
                  <c:v>5.6431800000000002E-3</c:v>
                </c:pt>
                <c:pt idx="11">
                  <c:v>0</c:v>
                </c:pt>
                <c:pt idx="12">
                  <c:v>1.8814166666666632E-2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728960"/>
        <c:axId val="116730496"/>
      </c:barChart>
      <c:catAx>
        <c:axId val="11672896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16730496"/>
        <c:crosses val="autoZero"/>
        <c:auto val="1"/>
        <c:lblAlgn val="ctr"/>
        <c:lblOffset val="100"/>
        <c:noMultiLvlLbl val="0"/>
      </c:catAx>
      <c:valAx>
        <c:axId val="1167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RBES science</a:t>
                </a:r>
                <a:r>
                  <a:rPr lang="en-US" baseline="0"/>
                  <a:t> score</a:t>
                </a:r>
                <a:endParaRPr lang="en-US"/>
              </a:p>
            </c:rich>
          </c:tx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1672896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/>
              <a:t>Tier I-II Decadal Missions sorted by </a:t>
            </a:r>
            <a:r>
              <a:rPr lang="en-US"/>
              <a:t> science per $ (updated costs)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Summary!$K$17</c:f>
              <c:strCache>
                <c:ptCount val="1"/>
                <c:pt idx="0">
                  <c:v>ratio (x100/$B)</c:v>
                </c:pt>
              </c:strCache>
            </c:strRef>
          </c:tx>
          <c:invertIfNegative val="0"/>
          <c:cat>
            <c:strRef>
              <c:f>Summary!$A$18:$A$29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GRACE-III</c:v>
                </c:pt>
                <c:pt idx="3">
                  <c:v>ICESAT-II</c:v>
                </c:pt>
                <c:pt idx="4">
                  <c:v>CLARREO</c:v>
                </c:pt>
                <c:pt idx="5">
                  <c:v>DESD_LID</c:v>
                </c:pt>
                <c:pt idx="6">
                  <c:v>DESD_SAR</c:v>
                </c:pt>
                <c:pt idx="7">
                  <c:v>DESDYINI</c:v>
                </c:pt>
                <c:pt idx="8">
                  <c:v>ACE</c:v>
                </c:pt>
                <c:pt idx="9">
                  <c:v>SMAP</c:v>
                </c:pt>
                <c:pt idx="10">
                  <c:v>ASCENDS</c:v>
                </c:pt>
                <c:pt idx="11">
                  <c:v>GEO-CAPE</c:v>
                </c:pt>
              </c:strCache>
            </c:strRef>
          </c:cat>
          <c:val>
            <c:numRef>
              <c:f>Summary!$K$18:$K$29</c:f>
              <c:numCache>
                <c:formatCode>_(* #,##0.0_);_(* \(#,##0.0\);_(* "-"??_);_(@_)</c:formatCode>
                <c:ptCount val="12"/>
                <c:pt idx="0">
                  <c:v>28.340210422812202</c:v>
                </c:pt>
                <c:pt idx="1">
                  <c:v>14.223120416666662</c:v>
                </c:pt>
                <c:pt idx="2">
                  <c:v>11.840424628450105</c:v>
                </c:pt>
                <c:pt idx="3">
                  <c:v>8.6037973640856666</c:v>
                </c:pt>
                <c:pt idx="4">
                  <c:v>8.4792111111111002</c:v>
                </c:pt>
                <c:pt idx="5">
                  <c:v>8.1632693965517227</c:v>
                </c:pt>
                <c:pt idx="6">
                  <c:v>7.4938773737373747</c:v>
                </c:pt>
                <c:pt idx="7">
                  <c:v>6.8959700562169264</c:v>
                </c:pt>
                <c:pt idx="8">
                  <c:v>6.7437979456729504</c:v>
                </c:pt>
                <c:pt idx="9">
                  <c:v>6.5295121263395375</c:v>
                </c:pt>
                <c:pt idx="10">
                  <c:v>5.0575291666666677</c:v>
                </c:pt>
                <c:pt idx="11">
                  <c:v>4.6509567659352129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781056"/>
        <c:axId val="116782592"/>
      </c:barChart>
      <c:catAx>
        <c:axId val="116781056"/>
        <c:scaling>
          <c:orientation val="minMax"/>
        </c:scaling>
        <c:delete val="0"/>
        <c:axPos val="b"/>
        <c:majorTickMark val="out"/>
        <c:minorTickMark val="none"/>
        <c:tickLblPos val="nextTo"/>
        <c:crossAx val="116782592"/>
        <c:crosses val="autoZero"/>
        <c:auto val="1"/>
        <c:lblAlgn val="ctr"/>
        <c:lblOffset val="100"/>
        <c:noMultiLvlLbl val="0"/>
      </c:catAx>
      <c:valAx>
        <c:axId val="116782592"/>
        <c:scaling>
          <c:orientation val="minMax"/>
        </c:scaling>
        <c:delete val="0"/>
        <c:axPos val="l"/>
        <c:majorGridlines/>
        <c:numFmt formatCode="_(* #,##0.0_);_(* \(#,##0.0\);_(* &quot;-&quot;??_);_(@_)" sourceLinked="1"/>
        <c:majorTickMark val="out"/>
        <c:minorTickMark val="none"/>
        <c:tickLblPos val="nextTo"/>
        <c:crossAx val="11678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Tier I-II</a:t>
            </a:r>
            <a:r>
              <a:rPr lang="en-US" baseline="0"/>
              <a:t> </a:t>
            </a:r>
            <a:r>
              <a:rPr lang="en-US"/>
              <a:t>Decadal</a:t>
            </a:r>
            <a:r>
              <a:rPr lang="en-US" baseline="0"/>
              <a:t> Missions sorted by Science Return </a:t>
            </a:r>
          </a:p>
          <a:p>
            <a:pPr>
              <a:defRPr/>
            </a:pPr>
            <a:r>
              <a:rPr lang="en-US" baseline="0"/>
              <a:t>(CSTM 2.0 unweighted)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Summary!$B$47</c:f>
              <c:strCache>
                <c:ptCount val="1"/>
                <c:pt idx="0">
                  <c:v>Weather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Summary!$B$33:$B$44</c:f>
              <c:numCache>
                <c:formatCode>0.00%</c:formatCode>
                <c:ptCount val="12"/>
                <c:pt idx="0">
                  <c:v>9.6166666666666692E-3</c:v>
                </c:pt>
                <c:pt idx="1">
                  <c:v>0</c:v>
                </c:pt>
                <c:pt idx="2">
                  <c:v>0</c:v>
                </c:pt>
                <c:pt idx="3">
                  <c:v>9.1358333333333402E-2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9.6149999999999999E-2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Summary!$C$47</c:f>
              <c:strCache>
                <c:ptCount val="1"/>
                <c:pt idx="0">
                  <c:v>Climate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Summary!$C$33:$C$44</c:f>
              <c:numCache>
                <c:formatCode>0.00%</c:formatCode>
                <c:ptCount val="12"/>
                <c:pt idx="0">
                  <c:v>5.0981666666666703E-2</c:v>
                </c:pt>
                <c:pt idx="1">
                  <c:v>4.90083333333333E-2</c:v>
                </c:pt>
                <c:pt idx="2">
                  <c:v>0.11078708333333299</c:v>
                </c:pt>
                <c:pt idx="3">
                  <c:v>0.24510416666666701</c:v>
                </c:pt>
                <c:pt idx="4">
                  <c:v>8.6276666666666696E-2</c:v>
                </c:pt>
                <c:pt idx="5">
                  <c:v>2.9399999999999999E-2</c:v>
                </c:pt>
                <c:pt idx="6">
                  <c:v>0</c:v>
                </c:pt>
                <c:pt idx="7">
                  <c:v>5.8825000000000002E-2</c:v>
                </c:pt>
                <c:pt idx="8">
                  <c:v>4.4118749999999998E-2</c:v>
                </c:pt>
                <c:pt idx="9">
                  <c:v>0.14708333333333301</c:v>
                </c:pt>
                <c:pt idx="10">
                  <c:v>0</c:v>
                </c:pt>
                <c:pt idx="11">
                  <c:v>2.4510416666666701E-2</c:v>
                </c:pt>
              </c:numCache>
            </c:numRef>
          </c:val>
        </c:ser>
        <c:ser>
          <c:idx val="2"/>
          <c:order val="2"/>
          <c:tx>
            <c:strRef>
              <c:f>Summary!$D$47</c:f>
              <c:strCache>
                <c:ptCount val="1"/>
                <c:pt idx="0">
                  <c:v>Land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Summary!$D$33:$D$44</c:f>
              <c:numCache>
                <c:formatCode>0.00%</c:formatCode>
                <c:ptCount val="12"/>
                <c:pt idx="0">
                  <c:v>0.28000000000000003</c:v>
                </c:pt>
                <c:pt idx="1">
                  <c:v>3.168E-2</c:v>
                </c:pt>
                <c:pt idx="2">
                  <c:v>0.24</c:v>
                </c:pt>
                <c:pt idx="3">
                  <c:v>0.16800000000000001</c:v>
                </c:pt>
                <c:pt idx="4">
                  <c:v>0.14399999999999999</c:v>
                </c:pt>
                <c:pt idx="5">
                  <c:v>0</c:v>
                </c:pt>
                <c:pt idx="6">
                  <c:v>0.14000000000000001</c:v>
                </c:pt>
                <c:pt idx="7">
                  <c:v>0.14399999999999999</c:v>
                </c:pt>
                <c:pt idx="8">
                  <c:v>0.14399999999999999</c:v>
                </c:pt>
                <c:pt idx="9">
                  <c:v>0</c:v>
                </c:pt>
                <c:pt idx="10">
                  <c:v>0</c:v>
                </c:pt>
                <c:pt idx="11">
                  <c:v>9.6000000000000002E-2</c:v>
                </c:pt>
              </c:numCache>
            </c:numRef>
          </c:val>
        </c:ser>
        <c:ser>
          <c:idx val="3"/>
          <c:order val="3"/>
          <c:tx>
            <c:strRef>
              <c:f>Summary!$E$32</c:f>
              <c:strCache>
                <c:ptCount val="1"/>
                <c:pt idx="0">
                  <c:v>Water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Summary!$E$33:$E$44</c:f>
              <c:numCache>
                <c:formatCode>0.00%</c:formatCode>
                <c:ptCount val="12"/>
                <c:pt idx="0">
                  <c:v>3.3875000000000002E-2</c:v>
                </c:pt>
                <c:pt idx="1">
                  <c:v>0.38440000000000002</c:v>
                </c:pt>
                <c:pt idx="2">
                  <c:v>8.1625000000000003E-2</c:v>
                </c:pt>
                <c:pt idx="3">
                  <c:v>0</c:v>
                </c:pt>
                <c:pt idx="4">
                  <c:v>8.1625000000000003E-2</c:v>
                </c:pt>
                <c:pt idx="5">
                  <c:v>0.1225</c:v>
                </c:pt>
                <c:pt idx="6">
                  <c:v>3.5999999999999997E-2</c:v>
                </c:pt>
                <c:pt idx="7">
                  <c:v>1.1849999999999999E-2</c:v>
                </c:pt>
                <c:pt idx="8">
                  <c:v>0</c:v>
                </c:pt>
                <c:pt idx="9">
                  <c:v>0</c:v>
                </c:pt>
                <c:pt idx="10">
                  <c:v>0.14349999999999999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Summary!$F$47</c:f>
              <c:strCache>
                <c:ptCount val="1"/>
                <c:pt idx="0">
                  <c:v>Health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Summary!$F$33:$F$44</c:f>
              <c:numCache>
                <c:formatCode>0.00%</c:formatCode>
                <c:ptCount val="12"/>
                <c:pt idx="0">
                  <c:v>0.234953703703704</c:v>
                </c:pt>
                <c:pt idx="1">
                  <c:v>0</c:v>
                </c:pt>
                <c:pt idx="2">
                  <c:v>3.4259259259259302E-2</c:v>
                </c:pt>
                <c:pt idx="3">
                  <c:v>4.6296296296296301E-2</c:v>
                </c:pt>
                <c:pt idx="4">
                  <c:v>3.0092592592592601E-2</c:v>
                </c:pt>
                <c:pt idx="5">
                  <c:v>0</c:v>
                </c:pt>
                <c:pt idx="6">
                  <c:v>0.224236111111111</c:v>
                </c:pt>
                <c:pt idx="7">
                  <c:v>4.1666666666666701E-3</c:v>
                </c:pt>
                <c:pt idx="8">
                  <c:v>4.1666666666666701E-3</c:v>
                </c:pt>
                <c:pt idx="9">
                  <c:v>0</c:v>
                </c:pt>
                <c:pt idx="10">
                  <c:v>3.0092592592592601E-2</c:v>
                </c:pt>
                <c:pt idx="11">
                  <c:v>4.1666666666666701E-3</c:v>
                </c:pt>
              </c:numCache>
            </c:numRef>
          </c:val>
        </c:ser>
        <c:ser>
          <c:idx val="5"/>
          <c:order val="5"/>
          <c:tx>
            <c:strRef>
              <c:f>Summary!$G$47</c:f>
              <c:strCache>
                <c:ptCount val="1"/>
                <c:pt idx="0">
                  <c:v>Solid Earth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Summary!$G$33:$G$44</c:f>
              <c:numCache>
                <c:formatCode>0.00%</c:formatCode>
                <c:ptCount val="12"/>
                <c:pt idx="0">
                  <c:v>0.24759999999999999</c:v>
                </c:pt>
                <c:pt idx="1">
                  <c:v>0.34763333333333302</c:v>
                </c:pt>
                <c:pt idx="2">
                  <c:v>0.25284000000000001</c:v>
                </c:pt>
                <c:pt idx="3">
                  <c:v>0</c:v>
                </c:pt>
                <c:pt idx="4">
                  <c:v>0.17684</c:v>
                </c:pt>
                <c:pt idx="5">
                  <c:v>0.28599999999999998</c:v>
                </c:pt>
                <c:pt idx="6">
                  <c:v>0</c:v>
                </c:pt>
                <c:pt idx="7">
                  <c:v>7.5999999999999998E-2</c:v>
                </c:pt>
                <c:pt idx="8">
                  <c:v>7.5999999999999998E-2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505600"/>
        <c:axId val="70507136"/>
      </c:barChart>
      <c:catAx>
        <c:axId val="705056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70507136"/>
        <c:crosses val="autoZero"/>
        <c:auto val="1"/>
        <c:lblAlgn val="ctr"/>
        <c:lblOffset val="100"/>
        <c:noMultiLvlLbl val="0"/>
      </c:catAx>
      <c:valAx>
        <c:axId val="7050713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7050560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/>
              <a:t>Tier I-II Decadal Missions sorted by science </a:t>
            </a:r>
            <a:r>
              <a:rPr lang="en-US"/>
              <a:t>per $ (original costs)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Summary!$K$17</c:f>
              <c:strCache>
                <c:ptCount val="1"/>
                <c:pt idx="0">
                  <c:v>ratio (x100/$B)</c:v>
                </c:pt>
              </c:strCache>
            </c:strRef>
          </c:tx>
          <c:invertIfNegative val="0"/>
          <c:cat>
            <c:strRef>
              <c:f>Summary!$A$71:$A$82</c:f>
              <c:strCache>
                <c:ptCount val="12"/>
                <c:pt idx="0">
                  <c:v>HYSPIRI</c:v>
                </c:pt>
                <c:pt idx="1">
                  <c:v>CLARREO</c:v>
                </c:pt>
                <c:pt idx="2">
                  <c:v>SWOT</c:v>
                </c:pt>
                <c:pt idx="3">
                  <c:v>DESD_SAR</c:v>
                </c:pt>
                <c:pt idx="4">
                  <c:v>ICESAT-II</c:v>
                </c:pt>
                <c:pt idx="5">
                  <c:v>DESDYINI</c:v>
                </c:pt>
                <c:pt idx="6">
                  <c:v>ACE</c:v>
                </c:pt>
                <c:pt idx="7">
                  <c:v>DESD_LID</c:v>
                </c:pt>
                <c:pt idx="8">
                  <c:v>GRACE-III</c:v>
                </c:pt>
                <c:pt idx="9">
                  <c:v>GEO-CAPE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Summary!$M$71:$M$82</c:f>
              <c:numCache>
                <c:formatCode>_(* #,##0.00_);_(* \(#,##0.00\);_(* "-"??_);_(@_)</c:formatCode>
                <c:ptCount val="12"/>
                <c:pt idx="0">
                  <c:v>42.699250370370386</c:v>
                </c:pt>
                <c:pt idx="1">
                  <c:v>25.437633333333302</c:v>
                </c:pt>
                <c:pt idx="2">
                  <c:v>25.285547407407396</c:v>
                </c:pt>
                <c:pt idx="3">
                  <c:v>23.552186031746032</c:v>
                </c:pt>
                <c:pt idx="4">
                  <c:v>17.408349999999999</c:v>
                </c:pt>
                <c:pt idx="5">
                  <c:v>16.550328134920623</c:v>
                </c:pt>
                <c:pt idx="6">
                  <c:v>13.723628819444455</c:v>
                </c:pt>
                <c:pt idx="7">
                  <c:v>13.527703571428569</c:v>
                </c:pt>
                <c:pt idx="8">
                  <c:v>12.392977777777777</c:v>
                </c:pt>
                <c:pt idx="9">
                  <c:v>10.790219696969693</c:v>
                </c:pt>
                <c:pt idx="10">
                  <c:v>8.5754259259259253</c:v>
                </c:pt>
                <c:pt idx="11">
                  <c:v>6.3219114583333349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197440"/>
        <c:axId val="117199232"/>
      </c:barChart>
      <c:catAx>
        <c:axId val="11719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17199232"/>
        <c:crosses val="autoZero"/>
        <c:auto val="1"/>
        <c:lblAlgn val="ctr"/>
        <c:lblOffset val="100"/>
        <c:noMultiLvlLbl val="0"/>
      </c:catAx>
      <c:valAx>
        <c:axId val="117199232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17197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Tier I-II Decadal Missions sorted by Science Return </a:t>
            </a:r>
            <a:endParaRPr lang="en-US"/>
          </a:p>
          <a:p>
            <a:pPr>
              <a:defRPr/>
            </a:pPr>
            <a:r>
              <a:rPr lang="en-US" sz="1800" b="1" i="0" baseline="0"/>
              <a:t>(CSTM 2.0 weighted)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Summary!$B$47</c:f>
              <c:strCache>
                <c:ptCount val="1"/>
                <c:pt idx="0">
                  <c:v>Weather</c:v>
                </c:pt>
              </c:strCache>
            </c:strRef>
          </c:tx>
          <c:invertIfNegative val="0"/>
          <c:cat>
            <c:strRef>
              <c:f>Summary!$A$48:$A$59</c:f>
              <c:strCache>
                <c:ptCount val="12"/>
                <c:pt idx="0">
                  <c:v>ACE</c:v>
                </c:pt>
                <c:pt idx="1">
                  <c:v>ASCENDS</c:v>
                </c:pt>
                <c:pt idx="2">
                  <c:v>CLARREO</c:v>
                </c:pt>
                <c:pt idx="3">
                  <c:v>DESD_LID</c:v>
                </c:pt>
                <c:pt idx="4">
                  <c:v>DESD_SAR</c:v>
                </c:pt>
                <c:pt idx="5">
                  <c:v>DESDYNI</c:v>
                </c:pt>
                <c:pt idx="6">
                  <c:v>GEO-CAPE</c:v>
                </c:pt>
                <c:pt idx="7">
                  <c:v>GRACE-II</c:v>
                </c:pt>
                <c:pt idx="8">
                  <c:v>HYSPIRI</c:v>
                </c:pt>
                <c:pt idx="9">
                  <c:v>ICESAT-II</c:v>
                </c:pt>
                <c:pt idx="10">
                  <c:v>SMAP</c:v>
                </c:pt>
                <c:pt idx="11">
                  <c:v>SWOT</c:v>
                </c:pt>
              </c:strCache>
            </c:strRef>
          </c:cat>
          <c:val>
            <c:numRef>
              <c:f>Summary!$B$48:$B$59</c:f>
              <c:numCache>
                <c:formatCode>0.00%</c:formatCode>
                <c:ptCount val="12"/>
                <c:pt idx="0">
                  <c:v>2.0579666666666672E-3</c:v>
                </c:pt>
                <c:pt idx="1">
                  <c:v>0</c:v>
                </c:pt>
                <c:pt idx="2">
                  <c:v>0</c:v>
                </c:pt>
                <c:pt idx="3">
                  <c:v>1.9550683333333346E-2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2.05761E-2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Summary!$C$47</c:f>
              <c:strCache>
                <c:ptCount val="1"/>
                <c:pt idx="0">
                  <c:v>Climate</c:v>
                </c:pt>
              </c:strCache>
            </c:strRef>
          </c:tx>
          <c:invertIfNegative val="0"/>
          <c:cat>
            <c:strRef>
              <c:f>Summary!$A$48:$A$59</c:f>
              <c:strCache>
                <c:ptCount val="12"/>
                <c:pt idx="0">
                  <c:v>ACE</c:v>
                </c:pt>
                <c:pt idx="1">
                  <c:v>ASCENDS</c:v>
                </c:pt>
                <c:pt idx="2">
                  <c:v>CLARREO</c:v>
                </c:pt>
                <c:pt idx="3">
                  <c:v>DESD_LID</c:v>
                </c:pt>
                <c:pt idx="4">
                  <c:v>DESD_SAR</c:v>
                </c:pt>
                <c:pt idx="5">
                  <c:v>DESDYNI</c:v>
                </c:pt>
                <c:pt idx="6">
                  <c:v>GEO-CAPE</c:v>
                </c:pt>
                <c:pt idx="7">
                  <c:v>GRACE-II</c:v>
                </c:pt>
                <c:pt idx="8">
                  <c:v>HYSPIRI</c:v>
                </c:pt>
                <c:pt idx="9">
                  <c:v>ICESAT-II</c:v>
                </c:pt>
                <c:pt idx="10">
                  <c:v>SMAP</c:v>
                </c:pt>
                <c:pt idx="11">
                  <c:v>SWOT</c:v>
                </c:pt>
              </c:strCache>
            </c:strRef>
          </c:cat>
          <c:val>
            <c:numRef>
              <c:f>Summary!$C$48:$C$59</c:f>
              <c:numCache>
                <c:formatCode>0.00%</c:formatCode>
                <c:ptCount val="12"/>
                <c:pt idx="0">
                  <c:v>1.050222333333334E-2</c:v>
                </c:pt>
                <c:pt idx="1">
                  <c:v>2.2822139166666595E-2</c:v>
                </c:pt>
                <c:pt idx="2">
                  <c:v>1.0095716666666659E-2</c:v>
                </c:pt>
                <c:pt idx="3">
                  <c:v>5.0491458333333399E-2</c:v>
                </c:pt>
                <c:pt idx="4">
                  <c:v>1.7772993333333337E-2</c:v>
                </c:pt>
                <c:pt idx="5">
                  <c:v>0</c:v>
                </c:pt>
                <c:pt idx="6">
                  <c:v>6.0563999999999991E-3</c:v>
                </c:pt>
                <c:pt idx="7">
                  <c:v>1.2117950000000001E-2</c:v>
                </c:pt>
                <c:pt idx="8">
                  <c:v>3.0299166666666599E-2</c:v>
                </c:pt>
                <c:pt idx="9">
                  <c:v>9.0884624999999983E-3</c:v>
                </c:pt>
                <c:pt idx="10">
                  <c:v>0</c:v>
                </c:pt>
                <c:pt idx="11">
                  <c:v>5.0491458333333404E-3</c:v>
                </c:pt>
              </c:numCache>
            </c:numRef>
          </c:val>
        </c:ser>
        <c:ser>
          <c:idx val="2"/>
          <c:order val="2"/>
          <c:tx>
            <c:strRef>
              <c:f>Summary!$D$47</c:f>
              <c:strCache>
                <c:ptCount val="1"/>
                <c:pt idx="0">
                  <c:v>Land</c:v>
                </c:pt>
              </c:strCache>
            </c:strRef>
          </c:tx>
          <c:invertIfNegative val="0"/>
          <c:cat>
            <c:strRef>
              <c:f>Summary!$A$48:$A$59</c:f>
              <c:strCache>
                <c:ptCount val="12"/>
                <c:pt idx="0">
                  <c:v>ACE</c:v>
                </c:pt>
                <c:pt idx="1">
                  <c:v>ASCENDS</c:v>
                </c:pt>
                <c:pt idx="2">
                  <c:v>CLARREO</c:v>
                </c:pt>
                <c:pt idx="3">
                  <c:v>DESD_LID</c:v>
                </c:pt>
                <c:pt idx="4">
                  <c:v>DESD_SAR</c:v>
                </c:pt>
                <c:pt idx="5">
                  <c:v>DESDYNI</c:v>
                </c:pt>
                <c:pt idx="6">
                  <c:v>GEO-CAPE</c:v>
                </c:pt>
                <c:pt idx="7">
                  <c:v>GRACE-II</c:v>
                </c:pt>
                <c:pt idx="8">
                  <c:v>HYSPIRI</c:v>
                </c:pt>
                <c:pt idx="9">
                  <c:v>ICESAT-II</c:v>
                </c:pt>
                <c:pt idx="10">
                  <c:v>SMAP</c:v>
                </c:pt>
                <c:pt idx="11">
                  <c:v>SWOT</c:v>
                </c:pt>
              </c:strCache>
            </c:strRef>
          </c:cat>
          <c:val>
            <c:numRef>
              <c:f>Summary!$D$48:$D$59</c:f>
              <c:numCache>
                <c:formatCode>0.00%</c:formatCode>
                <c:ptCount val="12"/>
                <c:pt idx="0">
                  <c:v>5.7680000000000002E-2</c:v>
                </c:pt>
                <c:pt idx="1">
                  <c:v>4.9439999999999998E-2</c:v>
                </c:pt>
                <c:pt idx="2">
                  <c:v>6.5260799999999992E-3</c:v>
                </c:pt>
                <c:pt idx="3">
                  <c:v>3.4608E-2</c:v>
                </c:pt>
                <c:pt idx="4">
                  <c:v>2.9663999999999996E-2</c:v>
                </c:pt>
                <c:pt idx="5">
                  <c:v>2.8840000000000001E-2</c:v>
                </c:pt>
                <c:pt idx="6">
                  <c:v>0</c:v>
                </c:pt>
                <c:pt idx="7">
                  <c:v>2.9663999999999996E-2</c:v>
                </c:pt>
                <c:pt idx="8">
                  <c:v>0</c:v>
                </c:pt>
                <c:pt idx="9">
                  <c:v>2.9663999999999996E-2</c:v>
                </c:pt>
                <c:pt idx="10">
                  <c:v>0</c:v>
                </c:pt>
                <c:pt idx="11">
                  <c:v>1.9775999999999998E-2</c:v>
                </c:pt>
              </c:numCache>
            </c:numRef>
          </c:val>
        </c:ser>
        <c:ser>
          <c:idx val="3"/>
          <c:order val="3"/>
          <c:tx>
            <c:strRef>
              <c:f>Summary!$E$47</c:f>
              <c:strCache>
                <c:ptCount val="1"/>
                <c:pt idx="0">
                  <c:v>Water</c:v>
                </c:pt>
              </c:strCache>
            </c:strRef>
          </c:tx>
          <c:invertIfNegative val="0"/>
          <c:cat>
            <c:strRef>
              <c:f>Summary!$A$48:$A$59</c:f>
              <c:strCache>
                <c:ptCount val="12"/>
                <c:pt idx="0">
                  <c:v>ACE</c:v>
                </c:pt>
                <c:pt idx="1">
                  <c:v>ASCENDS</c:v>
                </c:pt>
                <c:pt idx="2">
                  <c:v>CLARREO</c:v>
                </c:pt>
                <c:pt idx="3">
                  <c:v>DESD_LID</c:v>
                </c:pt>
                <c:pt idx="4">
                  <c:v>DESD_SAR</c:v>
                </c:pt>
                <c:pt idx="5">
                  <c:v>DESDYNI</c:v>
                </c:pt>
                <c:pt idx="6">
                  <c:v>GEO-CAPE</c:v>
                </c:pt>
                <c:pt idx="7">
                  <c:v>GRACE-II</c:v>
                </c:pt>
                <c:pt idx="8">
                  <c:v>HYSPIRI</c:v>
                </c:pt>
                <c:pt idx="9">
                  <c:v>ICESAT-II</c:v>
                </c:pt>
                <c:pt idx="10">
                  <c:v>SMAP</c:v>
                </c:pt>
                <c:pt idx="11">
                  <c:v>SWOT</c:v>
                </c:pt>
              </c:strCache>
            </c:strRef>
          </c:cat>
          <c:val>
            <c:numRef>
              <c:f>Summary!$E$48:$E$59</c:f>
              <c:numCache>
                <c:formatCode>0.00%</c:formatCode>
                <c:ptCount val="12"/>
                <c:pt idx="0">
                  <c:v>5.2845000000000001E-3</c:v>
                </c:pt>
                <c:pt idx="1">
                  <c:v>1.27335E-2</c:v>
                </c:pt>
                <c:pt idx="2">
                  <c:v>5.9966400000000003E-2</c:v>
                </c:pt>
                <c:pt idx="3">
                  <c:v>0</c:v>
                </c:pt>
                <c:pt idx="4">
                  <c:v>1.27335E-2</c:v>
                </c:pt>
                <c:pt idx="5">
                  <c:v>5.6159999999999995E-3</c:v>
                </c:pt>
                <c:pt idx="6">
                  <c:v>1.9109999999999999E-2</c:v>
                </c:pt>
                <c:pt idx="7">
                  <c:v>1.8485999999999999E-3</c:v>
                </c:pt>
                <c:pt idx="8">
                  <c:v>0</c:v>
                </c:pt>
                <c:pt idx="9">
                  <c:v>0</c:v>
                </c:pt>
                <c:pt idx="10">
                  <c:v>2.2386E-2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Summary!$F$47</c:f>
              <c:strCache>
                <c:ptCount val="1"/>
                <c:pt idx="0">
                  <c:v>Health</c:v>
                </c:pt>
              </c:strCache>
            </c:strRef>
          </c:tx>
          <c:invertIfNegative val="0"/>
          <c:cat>
            <c:strRef>
              <c:f>Summary!$A$48:$A$59</c:f>
              <c:strCache>
                <c:ptCount val="12"/>
                <c:pt idx="0">
                  <c:v>ACE</c:v>
                </c:pt>
                <c:pt idx="1">
                  <c:v>ASCENDS</c:v>
                </c:pt>
                <c:pt idx="2">
                  <c:v>CLARREO</c:v>
                </c:pt>
                <c:pt idx="3">
                  <c:v>DESD_LID</c:v>
                </c:pt>
                <c:pt idx="4">
                  <c:v>DESD_SAR</c:v>
                </c:pt>
                <c:pt idx="5">
                  <c:v>DESDYNI</c:v>
                </c:pt>
                <c:pt idx="6">
                  <c:v>GEO-CAPE</c:v>
                </c:pt>
                <c:pt idx="7">
                  <c:v>GRACE-II</c:v>
                </c:pt>
                <c:pt idx="8">
                  <c:v>HYSPIRI</c:v>
                </c:pt>
                <c:pt idx="9">
                  <c:v>ICESAT-II</c:v>
                </c:pt>
                <c:pt idx="10">
                  <c:v>SMAP</c:v>
                </c:pt>
                <c:pt idx="11">
                  <c:v>SWOT</c:v>
                </c:pt>
              </c:strCache>
            </c:strRef>
          </c:cat>
          <c:val>
            <c:numRef>
              <c:f>Summary!$F$48:$F$59</c:f>
              <c:numCache>
                <c:formatCode>0.00%</c:formatCode>
                <c:ptCount val="12"/>
                <c:pt idx="0">
                  <c:v>2.6079861111111144E-2</c:v>
                </c:pt>
                <c:pt idx="1">
                  <c:v>3.8027777777777825E-3</c:v>
                </c:pt>
                <c:pt idx="2">
                  <c:v>0</c:v>
                </c:pt>
                <c:pt idx="3">
                  <c:v>5.138888888888889E-3</c:v>
                </c:pt>
                <c:pt idx="4">
                  <c:v>3.3402777777777788E-3</c:v>
                </c:pt>
                <c:pt idx="5">
                  <c:v>2.489020833333332E-2</c:v>
                </c:pt>
                <c:pt idx="6">
                  <c:v>0</c:v>
                </c:pt>
                <c:pt idx="7">
                  <c:v>4.625000000000004E-4</c:v>
                </c:pt>
                <c:pt idx="8">
                  <c:v>0</c:v>
                </c:pt>
                <c:pt idx="9">
                  <c:v>4.625000000000004E-4</c:v>
                </c:pt>
                <c:pt idx="10">
                  <c:v>3.3402777777777788E-3</c:v>
                </c:pt>
                <c:pt idx="11">
                  <c:v>4.625000000000004E-4</c:v>
                </c:pt>
              </c:numCache>
            </c:numRef>
          </c:val>
        </c:ser>
        <c:ser>
          <c:idx val="5"/>
          <c:order val="5"/>
          <c:tx>
            <c:strRef>
              <c:f>Summary!$G$47</c:f>
              <c:strCache>
                <c:ptCount val="1"/>
                <c:pt idx="0">
                  <c:v>Solid Earth</c:v>
                </c:pt>
              </c:strCache>
            </c:strRef>
          </c:tx>
          <c:invertIfNegative val="0"/>
          <c:cat>
            <c:strRef>
              <c:f>Summary!$A$48:$A$59</c:f>
              <c:strCache>
                <c:ptCount val="12"/>
                <c:pt idx="0">
                  <c:v>ACE</c:v>
                </c:pt>
                <c:pt idx="1">
                  <c:v>ASCENDS</c:v>
                </c:pt>
                <c:pt idx="2">
                  <c:v>CLARREO</c:v>
                </c:pt>
                <c:pt idx="3">
                  <c:v>DESD_LID</c:v>
                </c:pt>
                <c:pt idx="4">
                  <c:v>DESD_SAR</c:v>
                </c:pt>
                <c:pt idx="5">
                  <c:v>DESDYNI</c:v>
                </c:pt>
                <c:pt idx="6">
                  <c:v>GEO-CAPE</c:v>
                </c:pt>
                <c:pt idx="7">
                  <c:v>GRACE-II</c:v>
                </c:pt>
                <c:pt idx="8">
                  <c:v>HYSPIRI</c:v>
                </c:pt>
                <c:pt idx="9">
                  <c:v>ICESAT-II</c:v>
                </c:pt>
                <c:pt idx="10">
                  <c:v>SMAP</c:v>
                </c:pt>
                <c:pt idx="11">
                  <c:v>SWOT</c:v>
                </c:pt>
              </c:strCache>
            </c:strRef>
          </c:cat>
          <c:val>
            <c:numRef>
              <c:f>Summary!$G$48:$G$59</c:f>
              <c:numCache>
                <c:formatCode>0.00%</c:formatCode>
                <c:ptCount val="12"/>
                <c:pt idx="0">
                  <c:v>2.6493199999999998E-2</c:v>
                </c:pt>
                <c:pt idx="1">
                  <c:v>2.7053879999999999E-2</c:v>
                </c:pt>
                <c:pt idx="2">
                  <c:v>3.7196766666666631E-2</c:v>
                </c:pt>
                <c:pt idx="3">
                  <c:v>0</c:v>
                </c:pt>
                <c:pt idx="4">
                  <c:v>1.8921879999999999E-2</c:v>
                </c:pt>
                <c:pt idx="5">
                  <c:v>0</c:v>
                </c:pt>
                <c:pt idx="6">
                  <c:v>3.0601999999999997E-2</c:v>
                </c:pt>
                <c:pt idx="7">
                  <c:v>8.1320000000000003E-3</c:v>
                </c:pt>
                <c:pt idx="8">
                  <c:v>0</c:v>
                </c:pt>
                <c:pt idx="9">
                  <c:v>8.1320000000000003E-3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985856"/>
        <c:axId val="116987392"/>
      </c:barChart>
      <c:catAx>
        <c:axId val="116985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16987392"/>
        <c:crosses val="autoZero"/>
        <c:auto val="1"/>
        <c:lblAlgn val="ctr"/>
        <c:lblOffset val="100"/>
        <c:noMultiLvlLbl val="0"/>
      </c:catAx>
      <c:valAx>
        <c:axId val="11698739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16985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Weather</c:v>
                </c:pt>
              </c:strCache>
            </c:strRef>
          </c:tx>
          <c:invertIfNegative val="0"/>
          <c:cat>
            <c:strRef>
              <c:f>Sheet2!$A$2:$A$13</c:f>
              <c:strCache>
                <c:ptCount val="12"/>
                <c:pt idx="0">
                  <c:v>HYSPIRI</c:v>
                </c:pt>
                <c:pt idx="1">
                  <c:v>DESDYINI</c:v>
                </c:pt>
                <c:pt idx="2">
                  <c:v>SWOT</c:v>
                </c:pt>
                <c:pt idx="3">
                  <c:v>ACE</c:v>
                </c:pt>
                <c:pt idx="4">
                  <c:v>DESD_SAR</c:v>
                </c:pt>
                <c:pt idx="5">
                  <c:v>GEO-CAPE</c:v>
                </c:pt>
                <c:pt idx="6">
                  <c:v>GRACE-III</c:v>
                </c:pt>
                <c:pt idx="7">
                  <c:v>ICESAT-II</c:v>
                </c:pt>
                <c:pt idx="8">
                  <c:v>CLARREO</c:v>
                </c:pt>
                <c:pt idx="9">
                  <c:v>DESD_LID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Sheet2!$B$2:$B$13</c:f>
              <c:numCache>
                <c:formatCode>0.00%</c:formatCode>
                <c:ptCount val="12"/>
                <c:pt idx="0">
                  <c:v>2.0579666666666672E-3</c:v>
                </c:pt>
                <c:pt idx="1">
                  <c:v>0</c:v>
                </c:pt>
                <c:pt idx="2">
                  <c:v>0</c:v>
                </c:pt>
                <c:pt idx="3">
                  <c:v>1.9550683333333346E-2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 formatCode="General">
                  <c:v>2.05761E-2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Climate</c:v>
                </c:pt>
              </c:strCache>
            </c:strRef>
          </c:tx>
          <c:invertIfNegative val="0"/>
          <c:cat>
            <c:strRef>
              <c:f>Sheet2!$A$2:$A$13</c:f>
              <c:strCache>
                <c:ptCount val="12"/>
                <c:pt idx="0">
                  <c:v>HYSPIRI</c:v>
                </c:pt>
                <c:pt idx="1">
                  <c:v>DESDYINI</c:v>
                </c:pt>
                <c:pt idx="2">
                  <c:v>SWOT</c:v>
                </c:pt>
                <c:pt idx="3">
                  <c:v>ACE</c:v>
                </c:pt>
                <c:pt idx="4">
                  <c:v>DESD_SAR</c:v>
                </c:pt>
                <c:pt idx="5">
                  <c:v>GEO-CAPE</c:v>
                </c:pt>
                <c:pt idx="6">
                  <c:v>GRACE-III</c:v>
                </c:pt>
                <c:pt idx="7">
                  <c:v>ICESAT-II</c:v>
                </c:pt>
                <c:pt idx="8">
                  <c:v>CLARREO</c:v>
                </c:pt>
                <c:pt idx="9">
                  <c:v>DESD_LID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Sheet2!$C$2:$C$13</c:f>
              <c:numCache>
                <c:formatCode>0.00%</c:formatCode>
                <c:ptCount val="12"/>
                <c:pt idx="0">
                  <c:v>1.050222333333334E-2</c:v>
                </c:pt>
                <c:pt idx="1">
                  <c:v>2.2822139166666595E-2</c:v>
                </c:pt>
                <c:pt idx="2">
                  <c:v>1.0095716666666659E-2</c:v>
                </c:pt>
                <c:pt idx="3">
                  <c:v>5.0491458333333399E-2</c:v>
                </c:pt>
                <c:pt idx="4">
                  <c:v>1.7772993333333337E-2</c:v>
                </c:pt>
                <c:pt idx="5">
                  <c:v>0</c:v>
                </c:pt>
                <c:pt idx="6">
                  <c:v>6.0563999999999991E-3</c:v>
                </c:pt>
                <c:pt idx="7">
                  <c:v>1.2117950000000001E-2</c:v>
                </c:pt>
                <c:pt idx="8" formatCode="General">
                  <c:v>3.0299166666666599E-2</c:v>
                </c:pt>
                <c:pt idx="9">
                  <c:v>9.0884624999999983E-3</c:v>
                </c:pt>
                <c:pt idx="10">
                  <c:v>0</c:v>
                </c:pt>
                <c:pt idx="11">
                  <c:v>5.0491458333333404E-3</c:v>
                </c:pt>
              </c:numCache>
            </c:numRef>
          </c:val>
        </c:ser>
        <c:ser>
          <c:idx val="2"/>
          <c:order val="2"/>
          <c:tx>
            <c:strRef>
              <c:f>Sheet2!$D$1</c:f>
              <c:strCache>
                <c:ptCount val="1"/>
                <c:pt idx="0">
                  <c:v>Land</c:v>
                </c:pt>
              </c:strCache>
            </c:strRef>
          </c:tx>
          <c:invertIfNegative val="0"/>
          <c:cat>
            <c:strRef>
              <c:f>Sheet2!$A$2:$A$13</c:f>
              <c:strCache>
                <c:ptCount val="12"/>
                <c:pt idx="0">
                  <c:v>HYSPIRI</c:v>
                </c:pt>
                <c:pt idx="1">
                  <c:v>DESDYINI</c:v>
                </c:pt>
                <c:pt idx="2">
                  <c:v>SWOT</c:v>
                </c:pt>
                <c:pt idx="3">
                  <c:v>ACE</c:v>
                </c:pt>
                <c:pt idx="4">
                  <c:v>DESD_SAR</c:v>
                </c:pt>
                <c:pt idx="5">
                  <c:v>GEO-CAPE</c:v>
                </c:pt>
                <c:pt idx="6">
                  <c:v>GRACE-III</c:v>
                </c:pt>
                <c:pt idx="7">
                  <c:v>ICESAT-II</c:v>
                </c:pt>
                <c:pt idx="8">
                  <c:v>CLARREO</c:v>
                </c:pt>
                <c:pt idx="9">
                  <c:v>DESD_LID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Sheet2!$D$2:$D$13</c:f>
              <c:numCache>
                <c:formatCode>0.00%</c:formatCode>
                <c:ptCount val="12"/>
                <c:pt idx="0">
                  <c:v>5.7680000000000002E-2</c:v>
                </c:pt>
                <c:pt idx="1">
                  <c:v>4.9439999999999998E-2</c:v>
                </c:pt>
                <c:pt idx="2">
                  <c:v>6.5260799999999992E-3</c:v>
                </c:pt>
                <c:pt idx="3">
                  <c:v>3.4608E-2</c:v>
                </c:pt>
                <c:pt idx="4">
                  <c:v>2.9663999999999996E-2</c:v>
                </c:pt>
                <c:pt idx="5">
                  <c:v>2.8840000000000001E-2</c:v>
                </c:pt>
                <c:pt idx="6">
                  <c:v>0</c:v>
                </c:pt>
                <c:pt idx="7">
                  <c:v>2.9663999999999996E-2</c:v>
                </c:pt>
                <c:pt idx="8" formatCode="General">
                  <c:v>0</c:v>
                </c:pt>
                <c:pt idx="9">
                  <c:v>2.9663999999999996E-2</c:v>
                </c:pt>
                <c:pt idx="10">
                  <c:v>0</c:v>
                </c:pt>
                <c:pt idx="11">
                  <c:v>1.9775999999999998E-2</c:v>
                </c:pt>
              </c:numCache>
            </c:numRef>
          </c:val>
        </c:ser>
        <c:ser>
          <c:idx val="3"/>
          <c:order val="3"/>
          <c:tx>
            <c:strRef>
              <c:f>Sheet2!$E$1</c:f>
              <c:strCache>
                <c:ptCount val="1"/>
                <c:pt idx="0">
                  <c:v>Water</c:v>
                </c:pt>
              </c:strCache>
            </c:strRef>
          </c:tx>
          <c:invertIfNegative val="0"/>
          <c:cat>
            <c:strRef>
              <c:f>Sheet2!$A$2:$A$13</c:f>
              <c:strCache>
                <c:ptCount val="12"/>
                <c:pt idx="0">
                  <c:v>HYSPIRI</c:v>
                </c:pt>
                <c:pt idx="1">
                  <c:v>DESDYINI</c:v>
                </c:pt>
                <c:pt idx="2">
                  <c:v>SWOT</c:v>
                </c:pt>
                <c:pt idx="3">
                  <c:v>ACE</c:v>
                </c:pt>
                <c:pt idx="4">
                  <c:v>DESD_SAR</c:v>
                </c:pt>
                <c:pt idx="5">
                  <c:v>GEO-CAPE</c:v>
                </c:pt>
                <c:pt idx="6">
                  <c:v>GRACE-III</c:v>
                </c:pt>
                <c:pt idx="7">
                  <c:v>ICESAT-II</c:v>
                </c:pt>
                <c:pt idx="8">
                  <c:v>CLARREO</c:v>
                </c:pt>
                <c:pt idx="9">
                  <c:v>DESD_LID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Sheet2!$E$2:$E$13</c:f>
              <c:numCache>
                <c:formatCode>0.00%</c:formatCode>
                <c:ptCount val="12"/>
                <c:pt idx="0">
                  <c:v>5.2845000000000001E-3</c:v>
                </c:pt>
                <c:pt idx="1">
                  <c:v>1.27335E-2</c:v>
                </c:pt>
                <c:pt idx="2">
                  <c:v>5.9966400000000003E-2</c:v>
                </c:pt>
                <c:pt idx="3">
                  <c:v>0</c:v>
                </c:pt>
                <c:pt idx="4">
                  <c:v>1.27335E-2</c:v>
                </c:pt>
                <c:pt idx="5">
                  <c:v>5.6159999999999995E-3</c:v>
                </c:pt>
                <c:pt idx="6">
                  <c:v>1.9109999999999999E-2</c:v>
                </c:pt>
                <c:pt idx="7">
                  <c:v>1.8485999999999999E-3</c:v>
                </c:pt>
                <c:pt idx="8" formatCode="General">
                  <c:v>0</c:v>
                </c:pt>
                <c:pt idx="9">
                  <c:v>0</c:v>
                </c:pt>
                <c:pt idx="10">
                  <c:v>2.2386E-2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Sheet2!$F$1</c:f>
              <c:strCache>
                <c:ptCount val="1"/>
                <c:pt idx="0">
                  <c:v>Health</c:v>
                </c:pt>
              </c:strCache>
            </c:strRef>
          </c:tx>
          <c:invertIfNegative val="0"/>
          <c:cat>
            <c:strRef>
              <c:f>Sheet2!$A$2:$A$13</c:f>
              <c:strCache>
                <c:ptCount val="12"/>
                <c:pt idx="0">
                  <c:v>HYSPIRI</c:v>
                </c:pt>
                <c:pt idx="1">
                  <c:v>DESDYINI</c:v>
                </c:pt>
                <c:pt idx="2">
                  <c:v>SWOT</c:v>
                </c:pt>
                <c:pt idx="3">
                  <c:v>ACE</c:v>
                </c:pt>
                <c:pt idx="4">
                  <c:v>DESD_SAR</c:v>
                </c:pt>
                <c:pt idx="5">
                  <c:v>GEO-CAPE</c:v>
                </c:pt>
                <c:pt idx="6">
                  <c:v>GRACE-III</c:v>
                </c:pt>
                <c:pt idx="7">
                  <c:v>ICESAT-II</c:v>
                </c:pt>
                <c:pt idx="8">
                  <c:v>CLARREO</c:v>
                </c:pt>
                <c:pt idx="9">
                  <c:v>DESD_LID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Sheet2!$F$2:$F$13</c:f>
              <c:numCache>
                <c:formatCode>0.00%</c:formatCode>
                <c:ptCount val="12"/>
                <c:pt idx="0">
                  <c:v>2.6079861111111144E-2</c:v>
                </c:pt>
                <c:pt idx="1">
                  <c:v>3.8027777777777825E-3</c:v>
                </c:pt>
                <c:pt idx="2">
                  <c:v>0</c:v>
                </c:pt>
                <c:pt idx="3">
                  <c:v>5.138888888888889E-3</c:v>
                </c:pt>
                <c:pt idx="4">
                  <c:v>3.3402777777777788E-3</c:v>
                </c:pt>
                <c:pt idx="5">
                  <c:v>2.489020833333332E-2</c:v>
                </c:pt>
                <c:pt idx="6">
                  <c:v>0</c:v>
                </c:pt>
                <c:pt idx="7">
                  <c:v>4.625000000000004E-4</c:v>
                </c:pt>
                <c:pt idx="8" formatCode="General">
                  <c:v>0</c:v>
                </c:pt>
                <c:pt idx="9">
                  <c:v>4.625000000000004E-4</c:v>
                </c:pt>
                <c:pt idx="10">
                  <c:v>3.3402777777777788E-3</c:v>
                </c:pt>
                <c:pt idx="11">
                  <c:v>4.625000000000004E-4</c:v>
                </c:pt>
              </c:numCache>
            </c:numRef>
          </c:val>
        </c:ser>
        <c:ser>
          <c:idx val="5"/>
          <c:order val="5"/>
          <c:tx>
            <c:strRef>
              <c:f>Sheet2!$G$1</c:f>
              <c:strCache>
                <c:ptCount val="1"/>
                <c:pt idx="0">
                  <c:v>Solid Earth</c:v>
                </c:pt>
              </c:strCache>
            </c:strRef>
          </c:tx>
          <c:invertIfNegative val="0"/>
          <c:cat>
            <c:strRef>
              <c:f>Sheet2!$A$2:$A$13</c:f>
              <c:strCache>
                <c:ptCount val="12"/>
                <c:pt idx="0">
                  <c:v>HYSPIRI</c:v>
                </c:pt>
                <c:pt idx="1">
                  <c:v>DESDYINI</c:v>
                </c:pt>
                <c:pt idx="2">
                  <c:v>SWOT</c:v>
                </c:pt>
                <c:pt idx="3">
                  <c:v>ACE</c:v>
                </c:pt>
                <c:pt idx="4">
                  <c:v>DESD_SAR</c:v>
                </c:pt>
                <c:pt idx="5">
                  <c:v>GEO-CAPE</c:v>
                </c:pt>
                <c:pt idx="6">
                  <c:v>GRACE-III</c:v>
                </c:pt>
                <c:pt idx="7">
                  <c:v>ICESAT-II</c:v>
                </c:pt>
                <c:pt idx="8">
                  <c:v>CLARREO</c:v>
                </c:pt>
                <c:pt idx="9">
                  <c:v>DESD_LID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Sheet2!$G$2:$G$13</c:f>
              <c:numCache>
                <c:formatCode>0.00%</c:formatCode>
                <c:ptCount val="12"/>
                <c:pt idx="0">
                  <c:v>2.6493199999999998E-2</c:v>
                </c:pt>
                <c:pt idx="1">
                  <c:v>2.7053879999999999E-2</c:v>
                </c:pt>
                <c:pt idx="2">
                  <c:v>3.7196766666666631E-2</c:v>
                </c:pt>
                <c:pt idx="3">
                  <c:v>0</c:v>
                </c:pt>
                <c:pt idx="4">
                  <c:v>1.8921879999999999E-2</c:v>
                </c:pt>
                <c:pt idx="5">
                  <c:v>0</c:v>
                </c:pt>
                <c:pt idx="6">
                  <c:v>3.0601999999999997E-2</c:v>
                </c:pt>
                <c:pt idx="7">
                  <c:v>8.1320000000000003E-3</c:v>
                </c:pt>
                <c:pt idx="8" formatCode="General">
                  <c:v>0</c:v>
                </c:pt>
                <c:pt idx="9">
                  <c:v>8.1320000000000003E-3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083520"/>
        <c:axId val="117097600"/>
      </c:barChart>
      <c:catAx>
        <c:axId val="1170835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17097600"/>
        <c:crosses val="autoZero"/>
        <c:auto val="1"/>
        <c:lblAlgn val="ctr"/>
        <c:lblOffset val="100"/>
        <c:noMultiLvlLbl val="0"/>
      </c:catAx>
      <c:valAx>
        <c:axId val="11709760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1708352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Tier I-II</a:t>
            </a:r>
            <a:r>
              <a:rPr lang="en-US" baseline="0"/>
              <a:t> </a:t>
            </a:r>
            <a:r>
              <a:rPr lang="en-US"/>
              <a:t>Decadal</a:t>
            </a:r>
            <a:r>
              <a:rPr lang="en-US" baseline="0"/>
              <a:t> Missions sorted by Science Return </a:t>
            </a:r>
          </a:p>
          <a:p>
            <a:pPr>
              <a:defRPr/>
            </a:pPr>
            <a:r>
              <a:rPr lang="en-US" baseline="0"/>
              <a:t>(CSTM 2.0 unweighted)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Summary!$B$47</c:f>
              <c:strCache>
                <c:ptCount val="1"/>
                <c:pt idx="0">
                  <c:v>Weather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Summary!$B$33:$B$44</c:f>
              <c:numCache>
                <c:formatCode>0.00%</c:formatCode>
                <c:ptCount val="12"/>
                <c:pt idx="0">
                  <c:v>9.6166666666666692E-3</c:v>
                </c:pt>
                <c:pt idx="1">
                  <c:v>0</c:v>
                </c:pt>
                <c:pt idx="2">
                  <c:v>0</c:v>
                </c:pt>
                <c:pt idx="3">
                  <c:v>9.1358333333333402E-2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9.6149999999999999E-2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Summary!$C$47</c:f>
              <c:strCache>
                <c:ptCount val="1"/>
                <c:pt idx="0">
                  <c:v>Climate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Summary!$C$33:$C$44</c:f>
              <c:numCache>
                <c:formatCode>0.00%</c:formatCode>
                <c:ptCount val="12"/>
                <c:pt idx="0">
                  <c:v>5.0981666666666703E-2</c:v>
                </c:pt>
                <c:pt idx="1">
                  <c:v>4.90083333333333E-2</c:v>
                </c:pt>
                <c:pt idx="2">
                  <c:v>0.11078708333333299</c:v>
                </c:pt>
                <c:pt idx="3">
                  <c:v>0.24510416666666701</c:v>
                </c:pt>
                <c:pt idx="4">
                  <c:v>8.6276666666666696E-2</c:v>
                </c:pt>
                <c:pt idx="5">
                  <c:v>2.9399999999999999E-2</c:v>
                </c:pt>
                <c:pt idx="6">
                  <c:v>0</c:v>
                </c:pt>
                <c:pt idx="7">
                  <c:v>5.8825000000000002E-2</c:v>
                </c:pt>
                <c:pt idx="8">
                  <c:v>4.4118749999999998E-2</c:v>
                </c:pt>
                <c:pt idx="9">
                  <c:v>0.14708333333333301</c:v>
                </c:pt>
                <c:pt idx="10">
                  <c:v>0</c:v>
                </c:pt>
                <c:pt idx="11">
                  <c:v>2.4510416666666701E-2</c:v>
                </c:pt>
              </c:numCache>
            </c:numRef>
          </c:val>
        </c:ser>
        <c:ser>
          <c:idx val="2"/>
          <c:order val="2"/>
          <c:tx>
            <c:strRef>
              <c:f>Summary!$D$47</c:f>
              <c:strCache>
                <c:ptCount val="1"/>
                <c:pt idx="0">
                  <c:v>Land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Summary!$D$33:$D$44</c:f>
              <c:numCache>
                <c:formatCode>0.00%</c:formatCode>
                <c:ptCount val="12"/>
                <c:pt idx="0">
                  <c:v>0.28000000000000003</c:v>
                </c:pt>
                <c:pt idx="1">
                  <c:v>3.168E-2</c:v>
                </c:pt>
                <c:pt idx="2">
                  <c:v>0.24</c:v>
                </c:pt>
                <c:pt idx="3">
                  <c:v>0.16800000000000001</c:v>
                </c:pt>
                <c:pt idx="4">
                  <c:v>0.14399999999999999</c:v>
                </c:pt>
                <c:pt idx="5">
                  <c:v>0</c:v>
                </c:pt>
                <c:pt idx="6">
                  <c:v>0.14000000000000001</c:v>
                </c:pt>
                <c:pt idx="7">
                  <c:v>0.14399999999999999</c:v>
                </c:pt>
                <c:pt idx="8">
                  <c:v>0.14399999999999999</c:v>
                </c:pt>
                <c:pt idx="9">
                  <c:v>0</c:v>
                </c:pt>
                <c:pt idx="10">
                  <c:v>0</c:v>
                </c:pt>
                <c:pt idx="11">
                  <c:v>9.6000000000000002E-2</c:v>
                </c:pt>
              </c:numCache>
            </c:numRef>
          </c:val>
        </c:ser>
        <c:ser>
          <c:idx val="3"/>
          <c:order val="3"/>
          <c:tx>
            <c:strRef>
              <c:f>Summary!$E$32</c:f>
              <c:strCache>
                <c:ptCount val="1"/>
                <c:pt idx="0">
                  <c:v>Water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Summary!$E$33:$E$44</c:f>
              <c:numCache>
                <c:formatCode>0.00%</c:formatCode>
                <c:ptCount val="12"/>
                <c:pt idx="0">
                  <c:v>3.3875000000000002E-2</c:v>
                </c:pt>
                <c:pt idx="1">
                  <c:v>0.38440000000000002</c:v>
                </c:pt>
                <c:pt idx="2">
                  <c:v>8.1625000000000003E-2</c:v>
                </c:pt>
                <c:pt idx="3">
                  <c:v>0</c:v>
                </c:pt>
                <c:pt idx="4">
                  <c:v>8.1625000000000003E-2</c:v>
                </c:pt>
                <c:pt idx="5">
                  <c:v>0.1225</c:v>
                </c:pt>
                <c:pt idx="6">
                  <c:v>3.5999999999999997E-2</c:v>
                </c:pt>
                <c:pt idx="7">
                  <c:v>1.1849999999999999E-2</c:v>
                </c:pt>
                <c:pt idx="8">
                  <c:v>0</c:v>
                </c:pt>
                <c:pt idx="9">
                  <c:v>0</c:v>
                </c:pt>
                <c:pt idx="10">
                  <c:v>0.14349999999999999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Summary!$F$47</c:f>
              <c:strCache>
                <c:ptCount val="1"/>
                <c:pt idx="0">
                  <c:v>Health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Summary!$F$33:$F$44</c:f>
              <c:numCache>
                <c:formatCode>0.00%</c:formatCode>
                <c:ptCount val="12"/>
                <c:pt idx="0">
                  <c:v>0.234953703703704</c:v>
                </c:pt>
                <c:pt idx="1">
                  <c:v>0</c:v>
                </c:pt>
                <c:pt idx="2">
                  <c:v>3.4259259259259302E-2</c:v>
                </c:pt>
                <c:pt idx="3">
                  <c:v>4.6296296296296301E-2</c:v>
                </c:pt>
                <c:pt idx="4">
                  <c:v>3.0092592592592601E-2</c:v>
                </c:pt>
                <c:pt idx="5">
                  <c:v>0</c:v>
                </c:pt>
                <c:pt idx="6">
                  <c:v>0.224236111111111</c:v>
                </c:pt>
                <c:pt idx="7">
                  <c:v>4.1666666666666701E-3</c:v>
                </c:pt>
                <c:pt idx="8">
                  <c:v>4.1666666666666701E-3</c:v>
                </c:pt>
                <c:pt idx="9">
                  <c:v>0</c:v>
                </c:pt>
                <c:pt idx="10">
                  <c:v>3.0092592592592601E-2</c:v>
                </c:pt>
                <c:pt idx="11">
                  <c:v>4.1666666666666701E-3</c:v>
                </c:pt>
              </c:numCache>
            </c:numRef>
          </c:val>
        </c:ser>
        <c:ser>
          <c:idx val="5"/>
          <c:order val="5"/>
          <c:tx>
            <c:strRef>
              <c:f>Summary!$G$47</c:f>
              <c:strCache>
                <c:ptCount val="1"/>
                <c:pt idx="0">
                  <c:v>Solid Earth</c:v>
                </c:pt>
              </c:strCache>
            </c:strRef>
          </c:tx>
          <c:invertIfNegative val="0"/>
          <c:cat>
            <c:strRef>
              <c:f>Summary!$A$33:$A$44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DESDYINI</c:v>
                </c:pt>
                <c:pt idx="3">
                  <c:v>ACE</c:v>
                </c:pt>
                <c:pt idx="4">
                  <c:v>DESD_SAR</c:v>
                </c:pt>
                <c:pt idx="5">
                  <c:v>GRACE-II</c:v>
                </c:pt>
                <c:pt idx="6">
                  <c:v>GEO-CAPE</c:v>
                </c:pt>
                <c:pt idx="7">
                  <c:v>ICESAT-II</c:v>
                </c:pt>
                <c:pt idx="8">
                  <c:v>DESD_LID</c:v>
                </c:pt>
                <c:pt idx="9">
                  <c:v>CLARREO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Summary!$G$33:$G$44</c:f>
              <c:numCache>
                <c:formatCode>0.00%</c:formatCode>
                <c:ptCount val="12"/>
                <c:pt idx="0">
                  <c:v>0.24759999999999999</c:v>
                </c:pt>
                <c:pt idx="1">
                  <c:v>0.34763333333333302</c:v>
                </c:pt>
                <c:pt idx="2">
                  <c:v>0.25284000000000001</c:v>
                </c:pt>
                <c:pt idx="3">
                  <c:v>0</c:v>
                </c:pt>
                <c:pt idx="4">
                  <c:v>0.17684</c:v>
                </c:pt>
                <c:pt idx="5">
                  <c:v>0.28599999999999998</c:v>
                </c:pt>
                <c:pt idx="6">
                  <c:v>0</c:v>
                </c:pt>
                <c:pt idx="7">
                  <c:v>7.5999999999999998E-2</c:v>
                </c:pt>
                <c:pt idx="8">
                  <c:v>7.5999999999999998E-2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133696"/>
        <c:axId val="117135232"/>
      </c:barChart>
      <c:catAx>
        <c:axId val="1171336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17135232"/>
        <c:crosses val="autoZero"/>
        <c:auto val="1"/>
        <c:lblAlgn val="ctr"/>
        <c:lblOffset val="100"/>
        <c:noMultiLvlLbl val="0"/>
      </c:catAx>
      <c:valAx>
        <c:axId val="11713523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11713369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Summary!$K$17</c:f>
              <c:strCache>
                <c:ptCount val="1"/>
                <c:pt idx="0">
                  <c:v>ratio (x100/$B)</c:v>
                </c:pt>
              </c:strCache>
            </c:strRef>
          </c:tx>
          <c:invertIfNegative val="0"/>
          <c:cat>
            <c:strRef>
              <c:f>Summary!$A$18:$A$29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GRACE-III</c:v>
                </c:pt>
                <c:pt idx="3">
                  <c:v>ICESAT-II</c:v>
                </c:pt>
                <c:pt idx="4">
                  <c:v>CLARREO</c:v>
                </c:pt>
                <c:pt idx="5">
                  <c:v>DESD_LID</c:v>
                </c:pt>
                <c:pt idx="6">
                  <c:v>DESD_SAR</c:v>
                </c:pt>
                <c:pt idx="7">
                  <c:v>DESDYINI</c:v>
                </c:pt>
                <c:pt idx="8">
                  <c:v>ACE</c:v>
                </c:pt>
                <c:pt idx="9">
                  <c:v>SMAP</c:v>
                </c:pt>
                <c:pt idx="10">
                  <c:v>ASCENDS</c:v>
                </c:pt>
                <c:pt idx="11">
                  <c:v>GEO-CAPE</c:v>
                </c:pt>
              </c:strCache>
            </c:strRef>
          </c:cat>
          <c:val>
            <c:numRef>
              <c:f>Summary!$K$18:$K$29</c:f>
              <c:numCache>
                <c:formatCode>_(* #,##0.0_);_(* \(#,##0.0\);_(* "-"??_);_(@_)</c:formatCode>
                <c:ptCount val="12"/>
                <c:pt idx="0">
                  <c:v>28.340210422812202</c:v>
                </c:pt>
                <c:pt idx="1">
                  <c:v>14.223120416666662</c:v>
                </c:pt>
                <c:pt idx="2">
                  <c:v>11.840424628450105</c:v>
                </c:pt>
                <c:pt idx="3">
                  <c:v>8.6037973640856666</c:v>
                </c:pt>
                <c:pt idx="4">
                  <c:v>8.4792111111111002</c:v>
                </c:pt>
                <c:pt idx="5">
                  <c:v>8.1632693965517227</c:v>
                </c:pt>
                <c:pt idx="6">
                  <c:v>7.4938773737373747</c:v>
                </c:pt>
                <c:pt idx="7">
                  <c:v>6.8959700562169264</c:v>
                </c:pt>
                <c:pt idx="8">
                  <c:v>6.7437979456729504</c:v>
                </c:pt>
                <c:pt idx="9">
                  <c:v>6.5295121263395375</c:v>
                </c:pt>
                <c:pt idx="10">
                  <c:v>5.0575291666666677</c:v>
                </c:pt>
                <c:pt idx="11">
                  <c:v>4.6509567659352129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168000"/>
        <c:axId val="117169536"/>
      </c:barChart>
      <c:catAx>
        <c:axId val="117168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17169536"/>
        <c:crosses val="autoZero"/>
        <c:auto val="1"/>
        <c:lblAlgn val="ctr"/>
        <c:lblOffset val="100"/>
        <c:noMultiLvlLbl val="0"/>
      </c:catAx>
      <c:valAx>
        <c:axId val="117169536"/>
        <c:scaling>
          <c:orientation val="minMax"/>
        </c:scaling>
        <c:delete val="0"/>
        <c:axPos val="l"/>
        <c:majorGridlines/>
        <c:numFmt formatCode="_(* #,##0.0_);_(* \(#,##0.0\);_(* &quot;-&quot;??_);_(@_)" sourceLinked="1"/>
        <c:majorTickMark val="out"/>
        <c:minorTickMark val="none"/>
        <c:tickLblPos val="nextTo"/>
        <c:crossAx val="117168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Summary!$K$17</c:f>
              <c:strCache>
                <c:ptCount val="1"/>
                <c:pt idx="0">
                  <c:v>ratio (x100/$B)</c:v>
                </c:pt>
              </c:strCache>
            </c:strRef>
          </c:tx>
          <c:invertIfNegative val="0"/>
          <c:cat>
            <c:strRef>
              <c:f>Summary!$A$18:$A$29</c:f>
              <c:strCache>
                <c:ptCount val="12"/>
                <c:pt idx="0">
                  <c:v>HYSPIRI</c:v>
                </c:pt>
                <c:pt idx="1">
                  <c:v>SWOT</c:v>
                </c:pt>
                <c:pt idx="2">
                  <c:v>GRACE-III</c:v>
                </c:pt>
                <c:pt idx="3">
                  <c:v>ICESAT-II</c:v>
                </c:pt>
                <c:pt idx="4">
                  <c:v>CLARREO</c:v>
                </c:pt>
                <c:pt idx="5">
                  <c:v>DESD_LID</c:v>
                </c:pt>
                <c:pt idx="6">
                  <c:v>DESD_SAR</c:v>
                </c:pt>
                <c:pt idx="7">
                  <c:v>DESDYINI</c:v>
                </c:pt>
                <c:pt idx="8">
                  <c:v>ACE</c:v>
                </c:pt>
                <c:pt idx="9">
                  <c:v>SMAP</c:v>
                </c:pt>
                <c:pt idx="10">
                  <c:v>ASCENDS</c:v>
                </c:pt>
                <c:pt idx="11">
                  <c:v>GEO-CAPE</c:v>
                </c:pt>
              </c:strCache>
            </c:strRef>
          </c:cat>
          <c:val>
            <c:numRef>
              <c:f>Summary!$K$18:$K$29</c:f>
              <c:numCache>
                <c:formatCode>_(* #,##0.0_);_(* \(#,##0.0\);_(* "-"??_);_(@_)</c:formatCode>
                <c:ptCount val="12"/>
                <c:pt idx="0">
                  <c:v>28.340210422812202</c:v>
                </c:pt>
                <c:pt idx="1">
                  <c:v>14.223120416666662</c:v>
                </c:pt>
                <c:pt idx="2">
                  <c:v>11.840424628450105</c:v>
                </c:pt>
                <c:pt idx="3">
                  <c:v>8.6037973640856666</c:v>
                </c:pt>
                <c:pt idx="4">
                  <c:v>8.4792111111111002</c:v>
                </c:pt>
                <c:pt idx="5">
                  <c:v>8.1632693965517227</c:v>
                </c:pt>
                <c:pt idx="6">
                  <c:v>7.4938773737373747</c:v>
                </c:pt>
                <c:pt idx="7">
                  <c:v>6.8959700562169264</c:v>
                </c:pt>
                <c:pt idx="8">
                  <c:v>6.7437979456729504</c:v>
                </c:pt>
                <c:pt idx="9">
                  <c:v>6.5295121263395375</c:v>
                </c:pt>
                <c:pt idx="10">
                  <c:v>5.0575291666666677</c:v>
                </c:pt>
                <c:pt idx="11">
                  <c:v>4.6509567659352129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176960"/>
        <c:axId val="117596544"/>
      </c:barChart>
      <c:catAx>
        <c:axId val="117176960"/>
        <c:scaling>
          <c:orientation val="minMax"/>
        </c:scaling>
        <c:delete val="0"/>
        <c:axPos val="b"/>
        <c:majorTickMark val="out"/>
        <c:minorTickMark val="none"/>
        <c:tickLblPos val="nextTo"/>
        <c:crossAx val="117596544"/>
        <c:crosses val="autoZero"/>
        <c:auto val="1"/>
        <c:lblAlgn val="ctr"/>
        <c:lblOffset val="100"/>
        <c:noMultiLvlLbl val="0"/>
      </c:catAx>
      <c:valAx>
        <c:axId val="117596544"/>
        <c:scaling>
          <c:orientation val="minMax"/>
          <c:max val="45"/>
        </c:scaling>
        <c:delete val="0"/>
        <c:axPos val="l"/>
        <c:majorGridlines/>
        <c:numFmt formatCode="_(* #,##0.0_);_(* \(#,##0.0\);_(* &quot;-&quot;??_);_(@_)" sourceLinked="1"/>
        <c:majorTickMark val="out"/>
        <c:minorTickMark val="none"/>
        <c:tickLblPos val="nextTo"/>
        <c:crossAx val="117176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/>
              <a:t>Tier I-II Decadal Missions sorted by science </a:t>
            </a:r>
            <a:r>
              <a:rPr lang="en-US"/>
              <a:t>per $ (original costs)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Summary!$K$17</c:f>
              <c:strCache>
                <c:ptCount val="1"/>
                <c:pt idx="0">
                  <c:v>ratio (x100/$B)</c:v>
                </c:pt>
              </c:strCache>
            </c:strRef>
          </c:tx>
          <c:invertIfNegative val="0"/>
          <c:cat>
            <c:strRef>
              <c:f>Summary!$A$71:$A$82</c:f>
              <c:strCache>
                <c:ptCount val="12"/>
                <c:pt idx="0">
                  <c:v>HYSPIRI</c:v>
                </c:pt>
                <c:pt idx="1">
                  <c:v>CLARREO</c:v>
                </c:pt>
                <c:pt idx="2">
                  <c:v>SWOT</c:v>
                </c:pt>
                <c:pt idx="3">
                  <c:v>DESD_SAR</c:v>
                </c:pt>
                <c:pt idx="4">
                  <c:v>ICESAT-II</c:v>
                </c:pt>
                <c:pt idx="5">
                  <c:v>DESDYINI</c:v>
                </c:pt>
                <c:pt idx="6">
                  <c:v>ACE</c:v>
                </c:pt>
                <c:pt idx="7">
                  <c:v>DESD_LID</c:v>
                </c:pt>
                <c:pt idx="8">
                  <c:v>GRACE-III</c:v>
                </c:pt>
                <c:pt idx="9">
                  <c:v>GEO-CAPE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Summary!$M$71:$M$82</c:f>
              <c:numCache>
                <c:formatCode>_(* #,##0.00_);_(* \(#,##0.00\);_(* "-"??_);_(@_)</c:formatCode>
                <c:ptCount val="12"/>
                <c:pt idx="0">
                  <c:v>42.699250370370386</c:v>
                </c:pt>
                <c:pt idx="1">
                  <c:v>25.437633333333302</c:v>
                </c:pt>
                <c:pt idx="2">
                  <c:v>25.285547407407396</c:v>
                </c:pt>
                <c:pt idx="3">
                  <c:v>23.552186031746032</c:v>
                </c:pt>
                <c:pt idx="4">
                  <c:v>17.408349999999999</c:v>
                </c:pt>
                <c:pt idx="5">
                  <c:v>16.550328134920623</c:v>
                </c:pt>
                <c:pt idx="6">
                  <c:v>13.723628819444455</c:v>
                </c:pt>
                <c:pt idx="7">
                  <c:v>13.527703571428569</c:v>
                </c:pt>
                <c:pt idx="8">
                  <c:v>12.392977777777777</c:v>
                </c:pt>
                <c:pt idx="9">
                  <c:v>10.790219696969693</c:v>
                </c:pt>
                <c:pt idx="10">
                  <c:v>8.5754259259259253</c:v>
                </c:pt>
                <c:pt idx="11">
                  <c:v>6.3219114583333349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11904"/>
        <c:axId val="117625984"/>
      </c:barChart>
      <c:catAx>
        <c:axId val="117611904"/>
        <c:scaling>
          <c:orientation val="minMax"/>
        </c:scaling>
        <c:delete val="0"/>
        <c:axPos val="b"/>
        <c:majorTickMark val="out"/>
        <c:minorTickMark val="none"/>
        <c:tickLblPos val="nextTo"/>
        <c:crossAx val="117625984"/>
        <c:crosses val="autoZero"/>
        <c:auto val="1"/>
        <c:lblAlgn val="ctr"/>
        <c:lblOffset val="100"/>
        <c:noMultiLvlLbl val="0"/>
      </c:catAx>
      <c:valAx>
        <c:axId val="117625984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176119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Summary!$K$17</c:f>
              <c:strCache>
                <c:ptCount val="1"/>
                <c:pt idx="0">
                  <c:v>ratio (x100/$B)</c:v>
                </c:pt>
              </c:strCache>
            </c:strRef>
          </c:tx>
          <c:invertIfNegative val="0"/>
          <c:cat>
            <c:strRef>
              <c:f>Summary!$A$71:$A$82</c:f>
              <c:strCache>
                <c:ptCount val="12"/>
                <c:pt idx="0">
                  <c:v>HYSPIRI</c:v>
                </c:pt>
                <c:pt idx="1">
                  <c:v>CLARREO</c:v>
                </c:pt>
                <c:pt idx="2">
                  <c:v>SWOT</c:v>
                </c:pt>
                <c:pt idx="3">
                  <c:v>DESD_SAR</c:v>
                </c:pt>
                <c:pt idx="4">
                  <c:v>ICESAT-II</c:v>
                </c:pt>
                <c:pt idx="5">
                  <c:v>DESDYINI</c:v>
                </c:pt>
                <c:pt idx="6">
                  <c:v>ACE</c:v>
                </c:pt>
                <c:pt idx="7">
                  <c:v>DESD_LID</c:v>
                </c:pt>
                <c:pt idx="8">
                  <c:v>GRACE-III</c:v>
                </c:pt>
                <c:pt idx="9">
                  <c:v>GEO-CAPE</c:v>
                </c:pt>
                <c:pt idx="10">
                  <c:v>SMAP</c:v>
                </c:pt>
                <c:pt idx="11">
                  <c:v>ASCENDS</c:v>
                </c:pt>
              </c:strCache>
            </c:strRef>
          </c:cat>
          <c:val>
            <c:numRef>
              <c:f>Summary!$M$71:$M$82</c:f>
              <c:numCache>
                <c:formatCode>_(* #,##0.00_);_(* \(#,##0.00\);_(* "-"??_);_(@_)</c:formatCode>
                <c:ptCount val="12"/>
                <c:pt idx="0">
                  <c:v>42.699250370370386</c:v>
                </c:pt>
                <c:pt idx="1">
                  <c:v>25.437633333333302</c:v>
                </c:pt>
                <c:pt idx="2">
                  <c:v>25.285547407407396</c:v>
                </c:pt>
                <c:pt idx="3">
                  <c:v>23.552186031746032</c:v>
                </c:pt>
                <c:pt idx="4">
                  <c:v>17.408349999999999</c:v>
                </c:pt>
                <c:pt idx="5">
                  <c:v>16.550328134920623</c:v>
                </c:pt>
                <c:pt idx="6">
                  <c:v>13.723628819444455</c:v>
                </c:pt>
                <c:pt idx="7">
                  <c:v>13.527703571428569</c:v>
                </c:pt>
                <c:pt idx="8">
                  <c:v>12.392977777777777</c:v>
                </c:pt>
                <c:pt idx="9">
                  <c:v>10.790219696969693</c:v>
                </c:pt>
                <c:pt idx="10">
                  <c:v>8.5754259259259253</c:v>
                </c:pt>
                <c:pt idx="11">
                  <c:v>6.3219114583333349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54272"/>
        <c:axId val="117655808"/>
      </c:barChart>
      <c:catAx>
        <c:axId val="117654272"/>
        <c:scaling>
          <c:orientation val="minMax"/>
        </c:scaling>
        <c:delete val="0"/>
        <c:axPos val="b"/>
        <c:majorTickMark val="out"/>
        <c:minorTickMark val="none"/>
        <c:tickLblPos val="nextTo"/>
        <c:crossAx val="117655808"/>
        <c:crosses val="autoZero"/>
        <c:auto val="1"/>
        <c:lblAlgn val="ctr"/>
        <c:lblOffset val="100"/>
        <c:noMultiLvlLbl val="0"/>
      </c:catAx>
      <c:valAx>
        <c:axId val="117655808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117654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'Mission costs'!$B$1</c:f>
              <c:strCache>
                <c:ptCount val="1"/>
                <c:pt idx="0">
                  <c:v>Original</c:v>
                </c:pt>
              </c:strCache>
            </c:strRef>
          </c:tx>
          <c:invertIfNegative val="0"/>
          <c:cat>
            <c:strRef>
              <c:f>'Mission costs'!$A$2:$A$18</c:f>
              <c:strCache>
                <c:ptCount val="17"/>
                <c:pt idx="0">
                  <c:v>ACE</c:v>
                </c:pt>
                <c:pt idx="1">
                  <c:v>DESDYNI</c:v>
                </c:pt>
                <c:pt idx="2">
                  <c:v>3DWINDS</c:v>
                </c:pt>
                <c:pt idx="3">
                  <c:v>GACM</c:v>
                </c:pt>
                <c:pt idx="4">
                  <c:v>GEO-CAPE</c:v>
                </c:pt>
                <c:pt idx="5">
                  <c:v>SCLP</c:v>
                </c:pt>
                <c:pt idx="6">
                  <c:v>GRACE-II</c:v>
                </c:pt>
                <c:pt idx="7">
                  <c:v>PATH</c:v>
                </c:pt>
                <c:pt idx="8">
                  <c:v>SWOT</c:v>
                </c:pt>
                <c:pt idx="9">
                  <c:v>ASCENDS</c:v>
                </c:pt>
                <c:pt idx="10">
                  <c:v>XOVWM</c:v>
                </c:pt>
                <c:pt idx="11">
                  <c:v>HYSPIRI</c:v>
                </c:pt>
                <c:pt idx="12">
                  <c:v>ICESAT-II</c:v>
                </c:pt>
                <c:pt idx="13">
                  <c:v>LIST</c:v>
                </c:pt>
                <c:pt idx="14">
                  <c:v>SMAP</c:v>
                </c:pt>
                <c:pt idx="15">
                  <c:v>CLARREO</c:v>
                </c:pt>
                <c:pt idx="16">
                  <c:v>GPSRO</c:v>
                </c:pt>
              </c:strCache>
            </c:strRef>
          </c:cat>
          <c:val>
            <c:numRef>
              <c:f>'Mission costs'!$B$2:$B$18</c:f>
              <c:numCache>
                <c:formatCode>#,##0_);\(#,##0\)</c:formatCode>
                <c:ptCount val="17"/>
                <c:pt idx="0">
                  <c:v>800</c:v>
                </c:pt>
                <c:pt idx="1">
                  <c:v>700</c:v>
                </c:pt>
                <c:pt idx="2">
                  <c:v>650</c:v>
                </c:pt>
                <c:pt idx="3">
                  <c:v>600</c:v>
                </c:pt>
                <c:pt idx="4">
                  <c:v>550</c:v>
                </c:pt>
                <c:pt idx="5">
                  <c:v>500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400</c:v>
                </c:pt>
                <c:pt idx="10">
                  <c:v>350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200</c:v>
                </c:pt>
                <c:pt idx="16">
                  <c:v>150</c:v>
                </c:pt>
              </c:numCache>
            </c:numRef>
          </c:val>
        </c:ser>
        <c:ser>
          <c:idx val="1"/>
          <c:order val="1"/>
          <c:tx>
            <c:strRef>
              <c:f>'Mission costs'!$C$1</c:f>
              <c:strCache>
                <c:ptCount val="1"/>
                <c:pt idx="0">
                  <c:v>Latest</c:v>
                </c:pt>
              </c:strCache>
            </c:strRef>
          </c:tx>
          <c:invertIfNegative val="0"/>
          <c:cat>
            <c:strRef>
              <c:f>'Mission costs'!$A$2:$A$18</c:f>
              <c:strCache>
                <c:ptCount val="17"/>
                <c:pt idx="0">
                  <c:v>ACE</c:v>
                </c:pt>
                <c:pt idx="1">
                  <c:v>DESDYNI</c:v>
                </c:pt>
                <c:pt idx="2">
                  <c:v>3DWINDS</c:v>
                </c:pt>
                <c:pt idx="3">
                  <c:v>GACM</c:v>
                </c:pt>
                <c:pt idx="4">
                  <c:v>GEO-CAPE</c:v>
                </c:pt>
                <c:pt idx="5">
                  <c:v>SCLP</c:v>
                </c:pt>
                <c:pt idx="6">
                  <c:v>GRACE-II</c:v>
                </c:pt>
                <c:pt idx="7">
                  <c:v>PATH</c:v>
                </c:pt>
                <c:pt idx="8">
                  <c:v>SWOT</c:v>
                </c:pt>
                <c:pt idx="9">
                  <c:v>ASCENDS</c:v>
                </c:pt>
                <c:pt idx="10">
                  <c:v>XOVWM</c:v>
                </c:pt>
                <c:pt idx="11">
                  <c:v>HYSPIRI</c:v>
                </c:pt>
                <c:pt idx="12">
                  <c:v>ICESAT-II</c:v>
                </c:pt>
                <c:pt idx="13">
                  <c:v>LIST</c:v>
                </c:pt>
                <c:pt idx="14">
                  <c:v>SMAP</c:v>
                </c:pt>
                <c:pt idx="15">
                  <c:v>CLARREO</c:v>
                </c:pt>
                <c:pt idx="16">
                  <c:v>GPSRO</c:v>
                </c:pt>
              </c:strCache>
            </c:strRef>
          </c:cat>
          <c:val>
            <c:numRef>
              <c:f>'Mission costs'!$C$2:$C$18</c:f>
              <c:numCache>
                <c:formatCode>#,##0_);\(#,##0\)</c:formatCode>
                <c:ptCount val="17"/>
                <c:pt idx="0">
                  <c:v>1628</c:v>
                </c:pt>
                <c:pt idx="1">
                  <c:v>1680</c:v>
                </c:pt>
                <c:pt idx="2">
                  <c:v>798</c:v>
                </c:pt>
                <c:pt idx="3">
                  <c:v>1037</c:v>
                </c:pt>
                <c:pt idx="4">
                  <c:v>1276</c:v>
                </c:pt>
                <c:pt idx="5">
                  <c:v>512</c:v>
                </c:pt>
                <c:pt idx="6">
                  <c:v>471</c:v>
                </c:pt>
                <c:pt idx="7">
                  <c:v>521</c:v>
                </c:pt>
                <c:pt idx="8">
                  <c:v>800</c:v>
                </c:pt>
                <c:pt idx="9">
                  <c:v>500</c:v>
                </c:pt>
                <c:pt idx="10">
                  <c:v>361</c:v>
                </c:pt>
                <c:pt idx="11">
                  <c:v>452</c:v>
                </c:pt>
                <c:pt idx="12">
                  <c:v>607</c:v>
                </c:pt>
                <c:pt idx="13">
                  <c:v>610</c:v>
                </c:pt>
                <c:pt idx="14">
                  <c:v>394</c:v>
                </c:pt>
                <c:pt idx="15">
                  <c:v>600</c:v>
                </c:pt>
                <c:pt idx="16">
                  <c:v>155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713920"/>
        <c:axId val="117732096"/>
      </c:barChart>
      <c:catAx>
        <c:axId val="1177139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17732096"/>
        <c:crosses val="autoZero"/>
        <c:auto val="1"/>
        <c:lblAlgn val="ctr"/>
        <c:lblOffset val="100"/>
        <c:noMultiLvlLbl val="0"/>
      </c:catAx>
      <c:valAx>
        <c:axId val="1177320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Mission cost ($M)</a:t>
                </a:r>
              </a:p>
            </c:rich>
          </c:tx>
          <c:overlay val="0"/>
        </c:title>
        <c:numFmt formatCode="#,##0_);\(#,##0\)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1771392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1000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403411</xdr:colOff>
      <xdr:row>22</xdr:row>
      <xdr:rowOff>180413</xdr:rowOff>
    </xdr:from>
    <xdr:to>
      <xdr:col>20</xdr:col>
      <xdr:colOff>89647</xdr:colOff>
      <xdr:row>36</xdr:row>
      <xdr:rowOff>66113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67236</xdr:colOff>
      <xdr:row>43</xdr:row>
      <xdr:rowOff>662266</xdr:rowOff>
    </xdr:from>
    <xdr:to>
      <xdr:col>21</xdr:col>
      <xdr:colOff>403412</xdr:colOff>
      <xdr:row>56</xdr:row>
      <xdr:rowOff>166966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212912</xdr:colOff>
      <xdr:row>65</xdr:row>
      <xdr:rowOff>718296</xdr:rowOff>
    </xdr:from>
    <xdr:to>
      <xdr:col>21</xdr:col>
      <xdr:colOff>549088</xdr:colOff>
      <xdr:row>79</xdr:row>
      <xdr:rowOff>32496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179294</xdr:colOff>
      <xdr:row>86</xdr:row>
      <xdr:rowOff>370915</xdr:rowOff>
    </xdr:from>
    <xdr:to>
      <xdr:col>19</xdr:col>
      <xdr:colOff>324970</xdr:colOff>
      <xdr:row>101</xdr:row>
      <xdr:rowOff>66115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38567</xdr:colOff>
      <xdr:row>14</xdr:row>
      <xdr:rowOff>178420</xdr:rowOff>
    </xdr:from>
    <xdr:to>
      <xdr:col>19</xdr:col>
      <xdr:colOff>290481</xdr:colOff>
      <xdr:row>29</xdr:row>
      <xdr:rowOff>30342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197223</xdr:colOff>
      <xdr:row>30</xdr:row>
      <xdr:rowOff>42582</xdr:rowOff>
    </xdr:from>
    <xdr:to>
      <xdr:col>18</xdr:col>
      <xdr:colOff>611841</xdr:colOff>
      <xdr:row>48</xdr:row>
      <xdr:rowOff>8965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86592</xdr:colOff>
      <xdr:row>68</xdr:row>
      <xdr:rowOff>51954</xdr:rowOff>
    </xdr:from>
    <xdr:to>
      <xdr:col>22</xdr:col>
      <xdr:colOff>296448</xdr:colOff>
      <xdr:row>82</xdr:row>
      <xdr:rowOff>107983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190500</xdr:colOff>
      <xdr:row>48</xdr:row>
      <xdr:rowOff>27213</xdr:rowOff>
    </xdr:from>
    <xdr:to>
      <xdr:col>18</xdr:col>
      <xdr:colOff>639536</xdr:colOff>
      <xdr:row>65</xdr:row>
      <xdr:rowOff>40820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221062</xdr:colOff>
      <xdr:row>21</xdr:row>
      <xdr:rowOff>120208</xdr:rowOff>
    </xdr:from>
    <xdr:to>
      <xdr:col>26</xdr:col>
      <xdr:colOff>484910</xdr:colOff>
      <xdr:row>39</xdr:row>
      <xdr:rowOff>138545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515470</xdr:colOff>
      <xdr:row>21</xdr:row>
      <xdr:rowOff>145676</xdr:rowOff>
    </xdr:from>
    <xdr:to>
      <xdr:col>18</xdr:col>
      <xdr:colOff>178493</xdr:colOff>
      <xdr:row>39</xdr:row>
      <xdr:rowOff>125667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103909</xdr:colOff>
      <xdr:row>22</xdr:row>
      <xdr:rowOff>51954</xdr:rowOff>
    </xdr:from>
    <xdr:to>
      <xdr:col>8</xdr:col>
      <xdr:colOff>453547</xdr:colOff>
      <xdr:row>36</xdr:row>
      <xdr:rowOff>135197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45</xdr:row>
      <xdr:rowOff>0</xdr:rowOff>
    </xdr:from>
    <xdr:to>
      <xdr:col>12</xdr:col>
      <xdr:colOff>349639</xdr:colOff>
      <xdr:row>59</xdr:row>
      <xdr:rowOff>83243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604681</xdr:colOff>
      <xdr:row>98</xdr:row>
      <xdr:rowOff>145677</xdr:rowOff>
    </xdr:from>
    <xdr:to>
      <xdr:col>15</xdr:col>
      <xdr:colOff>374161</xdr:colOff>
      <xdr:row>113</xdr:row>
      <xdr:rowOff>24813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81642</xdr:colOff>
      <xdr:row>45</xdr:row>
      <xdr:rowOff>40822</xdr:rowOff>
    </xdr:from>
    <xdr:to>
      <xdr:col>20</xdr:col>
      <xdr:colOff>413962</xdr:colOff>
      <xdr:row>59</xdr:row>
      <xdr:rowOff>110458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89647</xdr:colOff>
      <xdr:row>11</xdr:row>
      <xdr:rowOff>123265</xdr:rowOff>
    </xdr:from>
    <xdr:to>
      <xdr:col>19</xdr:col>
      <xdr:colOff>33617</xdr:colOff>
      <xdr:row>26</xdr:row>
      <xdr:rowOff>123265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3" name="Table14" displayName="Table14" ref="A1:E7" totalsRowShown="0">
  <autoFilter ref="A1:E7"/>
  <sortState ref="A2:E8">
    <sortCondition ref="A2:A8"/>
  </sortState>
  <tableColumns count="5">
    <tableColumn id="1" name="subobj"/>
    <tableColumn id="2" name="param"/>
    <tableColumn id="3" name="obj"/>
    <tableColumn id="4" name="instr"/>
    <tableColumn id="5" name="attrib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id="4" name="Table15" displayName="Table15" ref="A1:E17" totalsRowShown="0">
  <autoFilter ref="A1:E17"/>
  <sortState ref="A2:E17">
    <sortCondition ref="A2:A17"/>
  </sortState>
  <tableColumns count="5">
    <tableColumn id="1" name="subobj"/>
    <tableColumn id="2" name="param"/>
    <tableColumn id="3" name="obj"/>
    <tableColumn id="4" name="instr"/>
    <tableColumn id="5" name="attrib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8" name="Table16789" displayName="Table16789" ref="A1:E281" totalsRowShown="0">
  <autoFilter ref="A1:E281"/>
  <sortState ref="A2:E281">
    <sortCondition ref="A2:A281"/>
  </sortState>
  <tableColumns count="5">
    <tableColumn id="1" name="subobj"/>
    <tableColumn id="2" name="param"/>
    <tableColumn id="3" name="obj"/>
    <tableColumn id="4" name="instr"/>
    <tableColumn id="5" name="attrib" dataDxfId="68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7" name="Table1678" displayName="Table1678" ref="A1:E317" totalsRowShown="0">
  <autoFilter ref="A1:E317"/>
  <sortState ref="A2:E317">
    <sortCondition ref="A2:A317"/>
  </sortState>
  <tableColumns count="5">
    <tableColumn id="1" name="subobj"/>
    <tableColumn id="2" name="param"/>
    <tableColumn id="3" name="obj"/>
    <tableColumn id="4" name="instr"/>
    <tableColumn id="5" name="attrib" dataDxfId="58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id="1" name="Table16782" displayName="Table16782" ref="A1:E281" totalsRowShown="0">
  <autoFilter ref="A1:E281"/>
  <sortState ref="A2:E281">
    <sortCondition ref="A2:A281"/>
  </sortState>
  <tableColumns count="5">
    <tableColumn id="1" name="subobj"/>
    <tableColumn id="2" name="param"/>
    <tableColumn id="3" name="obj"/>
    <tableColumn id="4" name="instr"/>
    <tableColumn id="5" name="attrib" dataDxfId="54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id="2" name="Table13" displayName="Table13" ref="A1:E11" totalsRowShown="0">
  <autoFilter ref="A1:E11"/>
  <sortState ref="A2:E11">
    <sortCondition ref="A2:A11"/>
  </sortState>
  <tableColumns count="5">
    <tableColumn id="1" name="subobj"/>
    <tableColumn id="2" name="param"/>
    <tableColumn id="3" name="obj"/>
    <tableColumn id="4" name="instr"/>
    <tableColumn id="5" name="attrib"/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id="5" name="Table136" displayName="Table136" ref="A1:E7" totalsRowShown="0">
  <autoFilter ref="A1:E7"/>
  <sortState ref="A2:E11">
    <sortCondition ref="A2:A11"/>
  </sortState>
  <tableColumns count="5">
    <tableColumn id="1" name="subobj"/>
    <tableColumn id="2" name="param"/>
    <tableColumn id="3" name="obj"/>
    <tableColumn id="4" name="instr"/>
    <tableColumn id="5" name="attrib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8"/>
  <sheetViews>
    <sheetView zoomScale="70" zoomScaleNormal="70" workbookViewId="0">
      <selection activeCell="E16" sqref="E16"/>
    </sheetView>
  </sheetViews>
  <sheetFormatPr defaultRowHeight="15" x14ac:dyDescent="0.25"/>
  <cols>
    <col min="1" max="1" width="7.85546875" bestFit="1" customWidth="1"/>
    <col min="2" max="2" width="48.5703125" bestFit="1" customWidth="1"/>
    <col min="3" max="3" width="58.28515625" bestFit="1" customWidth="1"/>
    <col min="4" max="4" width="11.5703125" bestFit="1" customWidth="1"/>
    <col min="5" max="5" width="36.85546875" bestFit="1" customWidth="1"/>
    <col min="7" max="7" width="19.57031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3" ht="15.75" thickBot="1" x14ac:dyDescent="0.3">
      <c r="A2" t="s">
        <v>106</v>
      </c>
      <c r="B2" t="s">
        <v>107</v>
      </c>
      <c r="C2" t="s">
        <v>98</v>
      </c>
      <c r="D2" t="s">
        <v>108</v>
      </c>
      <c r="E2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3" ht="15.75" thickBot="1" x14ac:dyDescent="0.3">
      <c r="A3" t="s">
        <v>103</v>
      </c>
      <c r="B3" t="s">
        <v>104</v>
      </c>
      <c r="C3" t="s">
        <v>98</v>
      </c>
      <c r="D3" t="s">
        <v>105</v>
      </c>
      <c r="E3" t="s">
        <v>9</v>
      </c>
    </row>
    <row r="4" spans="1:13" x14ac:dyDescent="0.25">
      <c r="A4" t="s">
        <v>97</v>
      </c>
      <c r="B4" t="s">
        <v>93</v>
      </c>
      <c r="C4" t="s">
        <v>98</v>
      </c>
      <c r="D4" t="s">
        <v>95</v>
      </c>
      <c r="E4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3" ht="15.75" thickBot="1" x14ac:dyDescent="0.3">
      <c r="A5" t="s">
        <v>101</v>
      </c>
      <c r="B5" t="s">
        <v>102</v>
      </c>
      <c r="C5" t="s">
        <v>98</v>
      </c>
      <c r="D5" t="s">
        <v>95</v>
      </c>
      <c r="E5" t="s">
        <v>9</v>
      </c>
      <c r="G5" s="101"/>
      <c r="H5" s="7">
        <v>9.6149999999999999E-2</v>
      </c>
      <c r="I5" s="7">
        <v>0.14708333333333301</v>
      </c>
      <c r="J5" s="7">
        <v>0</v>
      </c>
      <c r="K5" s="7">
        <v>0</v>
      </c>
      <c r="L5" s="7">
        <v>0</v>
      </c>
      <c r="M5" s="8">
        <v>0</v>
      </c>
    </row>
    <row r="6" spans="1:13" ht="15.75" thickBot="1" x14ac:dyDescent="0.3">
      <c r="A6" t="s">
        <v>99</v>
      </c>
      <c r="B6" t="s">
        <v>100</v>
      </c>
      <c r="C6" t="s">
        <v>98</v>
      </c>
      <c r="D6" t="s">
        <v>95</v>
      </c>
      <c r="E6" t="s">
        <v>9</v>
      </c>
    </row>
    <row r="7" spans="1:13" x14ac:dyDescent="0.25">
      <c r="A7" t="s">
        <v>92</v>
      </c>
      <c r="B7" t="s">
        <v>93</v>
      </c>
      <c r="C7" t="s">
        <v>94</v>
      </c>
      <c r="D7" t="s">
        <v>95</v>
      </c>
      <c r="E7" t="s">
        <v>96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3" ht="15.75" thickBot="1" x14ac:dyDescent="0.3">
      <c r="G8" s="101"/>
      <c r="H8" s="102">
        <f>AVERAGE(H5:M5)</f>
        <v>4.053888888888884E-2</v>
      </c>
      <c r="I8" s="102"/>
      <c r="J8" s="11"/>
      <c r="K8" s="102">
        <f>SUMPRODUCT(H2:M2,H5:M5)</f>
        <v>5.0875266666666599E-2</v>
      </c>
      <c r="L8" s="102"/>
      <c r="M8" s="12"/>
    </row>
  </sheetData>
  <mergeCells count="5">
    <mergeCell ref="G1:G2"/>
    <mergeCell ref="G4:G5"/>
    <mergeCell ref="G7:G8"/>
    <mergeCell ref="H8:I8"/>
    <mergeCell ref="K8:L8"/>
  </mergeCells>
  <conditionalFormatting sqref="H5:M5">
    <cfRule type="cellIs" dxfId="95" priority="1" operator="greaterThan">
      <formula>0.2</formula>
    </cfRule>
    <cfRule type="cellIs" dxfId="94" priority="2" operator="greaterThan">
      <formula>0.1</formula>
    </cfRule>
    <cfRule type="cellIs" dxfId="93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6"/>
  <sheetViews>
    <sheetView zoomScale="70" zoomScaleNormal="70" workbookViewId="0">
      <selection sqref="A1:XFD1048576"/>
    </sheetView>
  </sheetViews>
  <sheetFormatPr defaultRowHeight="15" x14ac:dyDescent="0.25"/>
  <cols>
    <col min="1" max="1" width="8.5703125" bestFit="1" customWidth="1"/>
    <col min="2" max="2" width="27.7109375" customWidth="1"/>
    <col min="3" max="3" width="30" customWidth="1"/>
    <col min="4" max="4" width="43" customWidth="1"/>
    <col min="5" max="5" width="42.42578125" customWidth="1"/>
    <col min="7" max="7" width="19.5703125" bestFit="1" customWidth="1"/>
  </cols>
  <sheetData>
    <row r="1" spans="1:16" x14ac:dyDescent="0.25">
      <c r="A1" s="17" t="s">
        <v>0</v>
      </c>
      <c r="B1" s="18" t="s">
        <v>1</v>
      </c>
      <c r="C1" s="18" t="s">
        <v>2</v>
      </c>
      <c r="D1" s="18" t="s">
        <v>3</v>
      </c>
      <c r="E1" s="6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354</v>
      </c>
      <c r="B2" t="s">
        <v>357</v>
      </c>
      <c r="C2" t="s">
        <v>76</v>
      </c>
      <c r="D2" t="s">
        <v>356</v>
      </c>
      <c r="E2" t="s">
        <v>117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353</v>
      </c>
      <c r="B3" t="s">
        <v>355</v>
      </c>
      <c r="C3" t="s">
        <v>76</v>
      </c>
      <c r="D3" t="s">
        <v>356</v>
      </c>
      <c r="E3" t="s">
        <v>117</v>
      </c>
    </row>
    <row r="4" spans="1:16" x14ac:dyDescent="0.25">
      <c r="A4" t="s">
        <v>21</v>
      </c>
      <c r="B4" t="s">
        <v>22</v>
      </c>
      <c r="C4" t="s">
        <v>23</v>
      </c>
      <c r="D4" t="s">
        <v>161</v>
      </c>
      <c r="E4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21</v>
      </c>
      <c r="B5" t="s">
        <v>22</v>
      </c>
      <c r="C5" t="s">
        <v>23</v>
      </c>
      <c r="D5" t="s">
        <v>358</v>
      </c>
      <c r="E5" t="s">
        <v>9</v>
      </c>
      <c r="G5" s="101"/>
      <c r="H5" s="7">
        <v>0</v>
      </c>
      <c r="I5" s="7">
        <v>9.9959999999999997E-3</v>
      </c>
      <c r="J5" s="7">
        <v>0</v>
      </c>
      <c r="K5" s="7">
        <v>0.28699999999999998</v>
      </c>
      <c r="L5" s="7">
        <v>6.0185185185185203E-2</v>
      </c>
      <c r="M5" s="8">
        <v>0</v>
      </c>
    </row>
    <row r="6" spans="1:16" x14ac:dyDescent="0.25">
      <c r="A6" t="s">
        <v>32</v>
      </c>
      <c r="B6" t="s">
        <v>22</v>
      </c>
      <c r="C6" t="s">
        <v>31</v>
      </c>
      <c r="D6" t="s">
        <v>161</v>
      </c>
      <c r="E6" t="s">
        <v>9</v>
      </c>
      <c r="G6" s="100" t="s">
        <v>68</v>
      </c>
      <c r="H6" s="9" t="s">
        <v>64</v>
      </c>
      <c r="I6" s="9"/>
      <c r="J6" s="9"/>
      <c r="K6" s="9" t="s">
        <v>65</v>
      </c>
      <c r="L6" s="9"/>
      <c r="M6" s="10"/>
    </row>
    <row r="7" spans="1:16" ht="15.75" thickBot="1" x14ac:dyDescent="0.3">
      <c r="A7" t="s">
        <v>32</v>
      </c>
      <c r="B7" t="s">
        <v>22</v>
      </c>
      <c r="C7" t="s">
        <v>31</v>
      </c>
      <c r="D7" t="s">
        <v>358</v>
      </c>
      <c r="E7" t="s">
        <v>9</v>
      </c>
      <c r="G7" s="101"/>
      <c r="H7" s="102">
        <f>AVERAGE(H5:M5)</f>
        <v>5.9530197530864193E-2</v>
      </c>
      <c r="I7" s="102"/>
      <c r="J7" s="11"/>
      <c r="K7" s="103">
        <f>SUMPRODUCT(H2:M2,H5:M5)</f>
        <v>5.351173155555556E-2</v>
      </c>
      <c r="L7" s="103"/>
      <c r="M7" s="12"/>
    </row>
    <row r="8" spans="1:16" x14ac:dyDescent="0.25">
      <c r="A8" t="s">
        <v>159</v>
      </c>
      <c r="B8" t="s">
        <v>160</v>
      </c>
      <c r="C8" t="s">
        <v>151</v>
      </c>
      <c r="D8" t="s">
        <v>161</v>
      </c>
      <c r="E8" t="s">
        <v>9</v>
      </c>
    </row>
    <row r="9" spans="1:16" x14ac:dyDescent="0.25">
      <c r="A9" t="s">
        <v>150</v>
      </c>
      <c r="B9" t="s">
        <v>22</v>
      </c>
      <c r="C9" t="s">
        <v>151</v>
      </c>
      <c r="D9" t="s">
        <v>358</v>
      </c>
      <c r="E9" t="s">
        <v>9</v>
      </c>
      <c r="K9" s="51">
        <v>0</v>
      </c>
      <c r="L9">
        <v>0</v>
      </c>
    </row>
    <row r="10" spans="1:16" x14ac:dyDescent="0.25">
      <c r="K10" s="51">
        <v>9.9959999999999997E-3</v>
      </c>
      <c r="L10">
        <v>9.9959999999999997E-3</v>
      </c>
    </row>
    <row r="11" spans="1:16" x14ac:dyDescent="0.25">
      <c r="K11" s="51">
        <v>0</v>
      </c>
      <c r="L11">
        <v>0</v>
      </c>
    </row>
    <row r="12" spans="1:16" x14ac:dyDescent="0.25">
      <c r="K12" s="51">
        <v>0.28699999999999998</v>
      </c>
      <c r="L12">
        <v>0.28699999999999998</v>
      </c>
    </row>
    <row r="13" spans="1:16" x14ac:dyDescent="0.25">
      <c r="K13" s="51">
        <v>6.0185185185185203E-2</v>
      </c>
      <c r="L13">
        <v>6.0185185185185203E-2</v>
      </c>
    </row>
    <row r="14" spans="1:16" x14ac:dyDescent="0.25">
      <c r="K14" s="51">
        <v>0</v>
      </c>
      <c r="L14">
        <v>0</v>
      </c>
    </row>
    <row r="16" spans="1:16" x14ac:dyDescent="0.25">
      <c r="K16" s="51">
        <v>0</v>
      </c>
      <c r="L16" s="51">
        <v>9.9959999999999997E-3</v>
      </c>
      <c r="M16" s="51">
        <v>0</v>
      </c>
      <c r="N16" s="51">
        <v>0.28699999999999998</v>
      </c>
      <c r="O16" s="51">
        <v>6.0185185185185203E-2</v>
      </c>
      <c r="P16" s="51">
        <v>0</v>
      </c>
    </row>
  </sheetData>
  <sortState ref="A2:E12">
    <sortCondition ref="A2:A12"/>
  </sortState>
  <mergeCells count="5">
    <mergeCell ref="G1:G2"/>
    <mergeCell ref="G4:G5"/>
    <mergeCell ref="G6:G7"/>
    <mergeCell ref="H7:I7"/>
    <mergeCell ref="K7:L7"/>
  </mergeCells>
  <conditionalFormatting sqref="H5:M5">
    <cfRule type="cellIs" dxfId="92" priority="7" operator="greaterThan">
      <formula>0.2</formula>
    </cfRule>
    <cfRule type="cellIs" dxfId="91" priority="8" operator="greaterThan">
      <formula>0.1</formula>
    </cfRule>
    <cfRule type="cellIs" dxfId="90" priority="9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zoomScale="70" zoomScaleNormal="70" workbookViewId="0">
      <selection sqref="A1:E1"/>
    </sheetView>
  </sheetViews>
  <sheetFormatPr defaultRowHeight="15" x14ac:dyDescent="0.25"/>
  <cols>
    <col min="1" max="1" width="7.85546875" bestFit="1" customWidth="1"/>
    <col min="2" max="2" width="33.28515625" bestFit="1" customWidth="1"/>
    <col min="3" max="3" width="58.28515625" bestFit="1" customWidth="1"/>
    <col min="4" max="4" width="11.5703125" bestFit="1" customWidth="1"/>
    <col min="5" max="5" width="49.7109375" bestFit="1" customWidth="1"/>
    <col min="7" max="7" width="19.57031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5</v>
      </c>
      <c r="B2" t="s">
        <v>6</v>
      </c>
      <c r="C2" t="s">
        <v>7</v>
      </c>
      <c r="D2" t="s">
        <v>109</v>
      </c>
      <c r="E2" t="s">
        <v>117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115</v>
      </c>
      <c r="B3" t="s">
        <v>116</v>
      </c>
      <c r="C3" t="s">
        <v>7</v>
      </c>
      <c r="D3" t="s">
        <v>109</v>
      </c>
      <c r="E3" t="s">
        <v>117</v>
      </c>
    </row>
    <row r="4" spans="1:16" x14ac:dyDescent="0.25">
      <c r="A4" t="s">
        <v>131</v>
      </c>
      <c r="B4" t="s">
        <v>132</v>
      </c>
      <c r="C4" t="s">
        <v>12</v>
      </c>
      <c r="D4" t="s">
        <v>109</v>
      </c>
      <c r="E4" t="s">
        <v>117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128</v>
      </c>
      <c r="B5" t="s">
        <v>129</v>
      </c>
      <c r="C5" t="s">
        <v>12</v>
      </c>
      <c r="D5" t="s">
        <v>109</v>
      </c>
      <c r="E5" t="s">
        <v>117</v>
      </c>
      <c r="G5" s="101"/>
      <c r="H5" s="7">
        <v>1.4425E-2</v>
      </c>
      <c r="I5" s="7">
        <v>0.17647499999999999</v>
      </c>
      <c r="J5" s="7">
        <v>0.14399999999999999</v>
      </c>
      <c r="K5" s="7">
        <v>5.9249999999999997E-2</v>
      </c>
      <c r="L5" s="7">
        <v>1.38888888888889E-2</v>
      </c>
      <c r="M5" s="8">
        <v>8.1240000000000007E-2</v>
      </c>
    </row>
    <row r="6" spans="1:16" ht="15.75" thickBot="1" x14ac:dyDescent="0.3">
      <c r="A6" t="s">
        <v>126</v>
      </c>
      <c r="B6" t="s">
        <v>127</v>
      </c>
      <c r="C6" t="s">
        <v>12</v>
      </c>
      <c r="D6" t="s">
        <v>109</v>
      </c>
      <c r="E6" t="s">
        <v>117</v>
      </c>
    </row>
    <row r="7" spans="1:16" x14ac:dyDescent="0.25">
      <c r="A7" t="s">
        <v>123</v>
      </c>
      <c r="B7" t="s">
        <v>124</v>
      </c>
      <c r="C7" t="s">
        <v>12</v>
      </c>
      <c r="D7" t="s">
        <v>109</v>
      </c>
      <c r="E7" t="s">
        <v>117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15.75" thickBot="1" x14ac:dyDescent="0.3">
      <c r="A8" t="s">
        <v>10</v>
      </c>
      <c r="B8" t="s">
        <v>11</v>
      </c>
      <c r="C8" t="s">
        <v>12</v>
      </c>
      <c r="D8" t="s">
        <v>109</v>
      </c>
      <c r="E8" t="s">
        <v>117</v>
      </c>
      <c r="G8" s="101"/>
      <c r="H8" s="102">
        <f>AVERAGE(H5:M5)</f>
        <v>8.1546481481481484E-2</v>
      </c>
      <c r="I8" s="102"/>
      <c r="J8" s="11"/>
      <c r="K8" s="102">
        <f>SUMPRODUCT(H2:M2,H5:M5)</f>
        <v>8.8582146666666667E-2</v>
      </c>
      <c r="L8" s="102"/>
      <c r="M8" s="12"/>
    </row>
    <row r="9" spans="1:16" x14ac:dyDescent="0.25">
      <c r="A9" t="s">
        <v>133</v>
      </c>
      <c r="B9" t="s">
        <v>111</v>
      </c>
      <c r="C9" t="s">
        <v>16</v>
      </c>
      <c r="D9" t="s">
        <v>109</v>
      </c>
      <c r="E9" t="s">
        <v>117</v>
      </c>
    </row>
    <row r="10" spans="1:16" x14ac:dyDescent="0.25">
      <c r="A10" t="s">
        <v>134</v>
      </c>
      <c r="B10" t="s">
        <v>114</v>
      </c>
      <c r="C10" t="s">
        <v>16</v>
      </c>
      <c r="D10" t="s">
        <v>109</v>
      </c>
      <c r="E10" t="s">
        <v>117</v>
      </c>
      <c r="J10">
        <v>1.4425E-2</v>
      </c>
      <c r="K10">
        <v>1.4425E-2</v>
      </c>
      <c r="L10">
        <v>0.17647499999999999</v>
      </c>
      <c r="M10">
        <v>0.14399999999999999</v>
      </c>
      <c r="N10">
        <v>5.9249999999999997E-2</v>
      </c>
      <c r="O10">
        <v>1.38888888888889E-2</v>
      </c>
      <c r="P10">
        <v>8.1240000000000007E-2</v>
      </c>
    </row>
    <row r="11" spans="1:16" x14ac:dyDescent="0.25">
      <c r="A11" t="s">
        <v>113</v>
      </c>
      <c r="B11" t="s">
        <v>114</v>
      </c>
      <c r="C11" t="s">
        <v>112</v>
      </c>
      <c r="D11" t="s">
        <v>109</v>
      </c>
      <c r="E11" t="s">
        <v>9</v>
      </c>
      <c r="J11">
        <v>0.17647499999999999</v>
      </c>
    </row>
    <row r="12" spans="1:16" x14ac:dyDescent="0.25">
      <c r="A12" t="s">
        <v>110</v>
      </c>
      <c r="B12" t="s">
        <v>111</v>
      </c>
      <c r="C12" t="s">
        <v>112</v>
      </c>
      <c r="D12" t="s">
        <v>109</v>
      </c>
      <c r="E12" t="s">
        <v>9</v>
      </c>
      <c r="J12">
        <v>0.14399999999999999</v>
      </c>
    </row>
    <row r="13" spans="1:16" x14ac:dyDescent="0.25">
      <c r="A13" t="s">
        <v>118</v>
      </c>
      <c r="B13" t="s">
        <v>119</v>
      </c>
      <c r="C13" t="s">
        <v>120</v>
      </c>
      <c r="D13" t="s">
        <v>109</v>
      </c>
      <c r="E13" t="s">
        <v>121</v>
      </c>
      <c r="J13">
        <v>5.9249999999999997E-2</v>
      </c>
    </row>
    <row r="14" spans="1:16" x14ac:dyDescent="0.25">
      <c r="A14" t="s">
        <v>135</v>
      </c>
      <c r="B14" t="s">
        <v>136</v>
      </c>
      <c r="C14" t="s">
        <v>137</v>
      </c>
      <c r="D14" t="s">
        <v>109</v>
      </c>
      <c r="E14" t="s">
        <v>138</v>
      </c>
      <c r="J14">
        <v>1.38888888888889E-2</v>
      </c>
    </row>
    <row r="15" spans="1:16" x14ac:dyDescent="0.25">
      <c r="A15" t="s">
        <v>125</v>
      </c>
      <c r="B15" t="s">
        <v>124</v>
      </c>
      <c r="C15" t="s">
        <v>40</v>
      </c>
      <c r="D15" t="s">
        <v>109</v>
      </c>
      <c r="E15" t="s">
        <v>122</v>
      </c>
      <c r="J15">
        <v>8.1240000000000007E-2</v>
      </c>
    </row>
    <row r="16" spans="1:16" x14ac:dyDescent="0.25">
      <c r="A16" t="s">
        <v>39</v>
      </c>
      <c r="B16" t="s">
        <v>11</v>
      </c>
      <c r="C16" t="s">
        <v>40</v>
      </c>
      <c r="D16" t="s">
        <v>109</v>
      </c>
      <c r="E16" t="s">
        <v>122</v>
      </c>
    </row>
    <row r="17" spans="1:5" x14ac:dyDescent="0.25">
      <c r="A17" t="s">
        <v>130</v>
      </c>
      <c r="B17" t="s">
        <v>129</v>
      </c>
      <c r="C17" t="s">
        <v>40</v>
      </c>
      <c r="D17" t="s">
        <v>109</v>
      </c>
      <c r="E17" t="s">
        <v>122</v>
      </c>
    </row>
  </sheetData>
  <mergeCells count="5">
    <mergeCell ref="G1:G2"/>
    <mergeCell ref="G4:G5"/>
    <mergeCell ref="G7:G8"/>
    <mergeCell ref="H8:I8"/>
    <mergeCell ref="K8:L8"/>
  </mergeCells>
  <conditionalFormatting sqref="H5:M5">
    <cfRule type="cellIs" dxfId="89" priority="1" operator="greaterThan">
      <formula>0.2</formula>
    </cfRule>
    <cfRule type="cellIs" dxfId="88" priority="2" operator="greaterThan">
      <formula>0.1</formula>
    </cfRule>
    <cfRule type="cellIs" dxfId="87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58"/>
  <sheetViews>
    <sheetView zoomScale="70" zoomScaleNormal="70" workbookViewId="0">
      <selection activeCell="G19" sqref="G19"/>
    </sheetView>
  </sheetViews>
  <sheetFormatPr defaultRowHeight="15" x14ac:dyDescent="0.25"/>
  <cols>
    <col min="1" max="1" width="10" style="15" bestFit="1" customWidth="1"/>
    <col min="2" max="2" width="38.85546875" style="15" customWidth="1"/>
    <col min="3" max="3" width="39.28515625" style="15" customWidth="1"/>
    <col min="4" max="4" width="42.140625" style="15" customWidth="1"/>
    <col min="5" max="5" width="62.28515625" style="15" customWidth="1"/>
    <col min="7" max="7" width="19.5703125" bestFit="1" customWidth="1"/>
  </cols>
  <sheetData>
    <row r="1" spans="1:23" x14ac:dyDescent="0.25">
      <c r="A1" s="17" t="s">
        <v>0</v>
      </c>
      <c r="B1" s="18" t="s">
        <v>1</v>
      </c>
      <c r="C1" s="18" t="s">
        <v>2</v>
      </c>
      <c r="D1" s="18" t="s">
        <v>3</v>
      </c>
      <c r="E1" s="6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23" ht="30.75" thickBot="1" x14ac:dyDescent="0.3">
      <c r="A2" s="15" t="s">
        <v>140</v>
      </c>
      <c r="B2" s="15" t="s">
        <v>511</v>
      </c>
      <c r="C2" s="15" t="s">
        <v>7</v>
      </c>
      <c r="D2" s="15" t="s">
        <v>139</v>
      </c>
      <c r="E2" s="15" t="s">
        <v>117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23" ht="15.75" thickBot="1" x14ac:dyDescent="0.3">
      <c r="A3" s="15" t="s">
        <v>115</v>
      </c>
      <c r="B3" s="15" t="s">
        <v>116</v>
      </c>
      <c r="C3" s="15" t="s">
        <v>7</v>
      </c>
      <c r="D3" s="15" t="s">
        <v>139</v>
      </c>
      <c r="E3" s="15" t="s">
        <v>117</v>
      </c>
    </row>
    <row r="4" spans="1:23" x14ac:dyDescent="0.25">
      <c r="A4" s="15" t="s">
        <v>142</v>
      </c>
      <c r="B4" s="15" t="s">
        <v>143</v>
      </c>
      <c r="C4" s="15" t="s">
        <v>7</v>
      </c>
      <c r="D4" s="15" t="s">
        <v>139</v>
      </c>
      <c r="E4" s="15" t="s">
        <v>117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23" ht="30.75" thickBot="1" x14ac:dyDescent="0.3">
      <c r="A5" s="15" t="s">
        <v>126</v>
      </c>
      <c r="B5" s="15" t="s">
        <v>127</v>
      </c>
      <c r="C5" s="15" t="s">
        <v>12</v>
      </c>
      <c r="D5" s="15" t="s">
        <v>146</v>
      </c>
      <c r="E5" s="15" t="s">
        <v>13</v>
      </c>
      <c r="G5" s="101"/>
      <c r="H5" s="7">
        <v>0</v>
      </c>
      <c r="I5" s="7">
        <v>0.24592771666666699</v>
      </c>
      <c r="J5" s="7">
        <v>0.24</v>
      </c>
      <c r="K5" s="7">
        <v>0.12021</v>
      </c>
      <c r="L5" s="7">
        <v>3.4259259259259302E-2</v>
      </c>
      <c r="M5" s="8">
        <v>0.25284000000000001</v>
      </c>
      <c r="P5">
        <v>0</v>
      </c>
      <c r="R5">
        <v>0</v>
      </c>
      <c r="S5">
        <v>0.24592771666666699</v>
      </c>
      <c r="T5">
        <v>0.24</v>
      </c>
      <c r="U5">
        <v>0.12021</v>
      </c>
      <c r="V5">
        <v>3.4259259259259302E-2</v>
      </c>
      <c r="W5">
        <v>0.25284000000000001</v>
      </c>
    </row>
    <row r="6" spans="1:23" ht="45.75" thickBot="1" x14ac:dyDescent="0.3">
      <c r="A6" s="15" t="s">
        <v>126</v>
      </c>
      <c r="B6" s="15" t="s">
        <v>127</v>
      </c>
      <c r="C6" s="15" t="s">
        <v>12</v>
      </c>
      <c r="D6" s="15" t="s">
        <v>514</v>
      </c>
      <c r="E6" s="15" t="s">
        <v>515</v>
      </c>
      <c r="P6">
        <v>0.24592771666666699</v>
      </c>
    </row>
    <row r="7" spans="1:23" ht="30" x14ac:dyDescent="0.25">
      <c r="A7" s="15" t="s">
        <v>123</v>
      </c>
      <c r="B7" s="15" t="s">
        <v>124</v>
      </c>
      <c r="C7" s="15" t="s">
        <v>12</v>
      </c>
      <c r="D7" s="15" t="s">
        <v>146</v>
      </c>
      <c r="E7" s="15" t="s">
        <v>13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  <c r="P7">
        <v>0.24</v>
      </c>
    </row>
    <row r="8" spans="1:23" ht="30.75" thickBot="1" x14ac:dyDescent="0.3">
      <c r="A8" s="15" t="s">
        <v>123</v>
      </c>
      <c r="B8" s="15" t="s">
        <v>124</v>
      </c>
      <c r="C8" s="15" t="s">
        <v>12</v>
      </c>
      <c r="D8" s="15" t="s">
        <v>512</v>
      </c>
      <c r="E8" s="15" t="s">
        <v>213</v>
      </c>
      <c r="G8" s="101"/>
      <c r="H8" s="102">
        <f>AVERAGE(H5:M5)</f>
        <v>0.14887282932098775</v>
      </c>
      <c r="I8" s="102"/>
      <c r="J8" s="11"/>
      <c r="K8" s="102">
        <f>SUMPRODUCT(H2:M2,H5:M5)</f>
        <v>0.14971052741111116</v>
      </c>
      <c r="L8" s="102"/>
      <c r="M8" s="12"/>
      <c r="P8">
        <v>0.12021</v>
      </c>
    </row>
    <row r="9" spans="1:23" ht="30.75" thickBot="1" x14ac:dyDescent="0.3">
      <c r="A9" s="15" t="s">
        <v>10</v>
      </c>
      <c r="B9" s="15" t="s">
        <v>11</v>
      </c>
      <c r="C9" s="15" t="s">
        <v>12</v>
      </c>
      <c r="D9" s="15" t="s">
        <v>146</v>
      </c>
      <c r="E9" s="15" t="s">
        <v>13</v>
      </c>
      <c r="P9">
        <v>3.4259259259259302E-2</v>
      </c>
    </row>
    <row r="10" spans="1:23" ht="30" x14ac:dyDescent="0.25">
      <c r="A10" s="15" t="s">
        <v>10</v>
      </c>
      <c r="B10" s="15" t="s">
        <v>11</v>
      </c>
      <c r="C10" s="15" t="s">
        <v>12</v>
      </c>
      <c r="D10" s="15" t="s">
        <v>512</v>
      </c>
      <c r="E10" s="15" t="s">
        <v>214</v>
      </c>
      <c r="G10" s="104" t="s">
        <v>157</v>
      </c>
      <c r="H10" s="5" t="s">
        <v>58</v>
      </c>
      <c r="I10" s="5" t="s">
        <v>59</v>
      </c>
      <c r="J10" s="5" t="s">
        <v>60</v>
      </c>
      <c r="K10" s="5" t="s">
        <v>61</v>
      </c>
      <c r="L10" s="5" t="s">
        <v>62</v>
      </c>
      <c r="M10" s="6" t="s">
        <v>63</v>
      </c>
      <c r="P10">
        <v>0.25284000000000001</v>
      </c>
    </row>
    <row r="11" spans="1:23" ht="30.75" thickBot="1" x14ac:dyDescent="0.3">
      <c r="A11" s="15" t="s">
        <v>144</v>
      </c>
      <c r="B11" s="15" t="s">
        <v>145</v>
      </c>
      <c r="C11" s="15" t="s">
        <v>12</v>
      </c>
      <c r="D11" s="15" t="s">
        <v>146</v>
      </c>
      <c r="E11" s="15" t="s">
        <v>9</v>
      </c>
      <c r="G11" s="105"/>
      <c r="H11" s="7">
        <v>0</v>
      </c>
      <c r="I11" s="7">
        <v>8.6276666666666696E-2</v>
      </c>
      <c r="J11" s="7">
        <v>0.14399999999999999</v>
      </c>
      <c r="K11" s="7">
        <v>8.1625000000000003E-2</v>
      </c>
      <c r="L11" s="7">
        <v>3.0092592592592601E-2</v>
      </c>
      <c r="M11" s="8">
        <v>0.17684</v>
      </c>
    </row>
    <row r="12" spans="1:23" ht="15.75" thickBot="1" x14ac:dyDescent="0.3">
      <c r="A12" s="15" t="s">
        <v>133</v>
      </c>
      <c r="B12" s="15" t="s">
        <v>111</v>
      </c>
      <c r="C12" s="15" t="s">
        <v>16</v>
      </c>
      <c r="D12" s="15" t="s">
        <v>146</v>
      </c>
      <c r="E12" s="15" t="s">
        <v>9</v>
      </c>
    </row>
    <row r="13" spans="1:23" x14ac:dyDescent="0.25">
      <c r="A13" s="15" t="s">
        <v>133</v>
      </c>
      <c r="B13" s="15" t="s">
        <v>111</v>
      </c>
      <c r="C13" s="15" t="s">
        <v>16</v>
      </c>
      <c r="D13" s="15" t="s">
        <v>517</v>
      </c>
      <c r="E13" s="15" t="s">
        <v>9</v>
      </c>
      <c r="G13" s="104" t="s">
        <v>158</v>
      </c>
      <c r="H13" s="5" t="s">
        <v>58</v>
      </c>
      <c r="I13" s="5" t="s">
        <v>59</v>
      </c>
      <c r="J13" s="5" t="s">
        <v>60</v>
      </c>
      <c r="K13" s="5" t="s">
        <v>61</v>
      </c>
      <c r="L13" s="5" t="s">
        <v>62</v>
      </c>
      <c r="M13" s="6" t="s">
        <v>63</v>
      </c>
    </row>
    <row r="14" spans="1:23" ht="15.75" thickBot="1" x14ac:dyDescent="0.3">
      <c r="A14" s="15" t="s">
        <v>133</v>
      </c>
      <c r="B14" s="15" t="s">
        <v>111</v>
      </c>
      <c r="C14" s="15" t="s">
        <v>16</v>
      </c>
      <c r="D14" s="15" t="s">
        <v>549</v>
      </c>
      <c r="E14" s="15" t="s">
        <v>9</v>
      </c>
      <c r="G14" s="105"/>
      <c r="H14" s="7">
        <v>0</v>
      </c>
      <c r="I14" s="7">
        <v>4.4118749999999998E-2</v>
      </c>
      <c r="J14" s="7">
        <v>0.14399999999999999</v>
      </c>
      <c r="K14" s="7">
        <v>0</v>
      </c>
      <c r="L14" s="7">
        <v>4.1666666666666701E-3</v>
      </c>
      <c r="M14" s="8">
        <v>7.5999999999999998E-2</v>
      </c>
    </row>
    <row r="15" spans="1:23" ht="30" x14ac:dyDescent="0.25">
      <c r="A15" s="15" t="s">
        <v>133</v>
      </c>
      <c r="B15" s="15" t="s">
        <v>111</v>
      </c>
      <c r="C15" s="15" t="s">
        <v>16</v>
      </c>
      <c r="D15" s="15" t="s">
        <v>550</v>
      </c>
      <c r="E15" s="15" t="s">
        <v>9</v>
      </c>
    </row>
    <row r="16" spans="1:23" ht="30" x14ac:dyDescent="0.25">
      <c r="A16" s="15" t="s">
        <v>133</v>
      </c>
      <c r="B16" s="15" t="s">
        <v>111</v>
      </c>
      <c r="C16" s="15" t="s">
        <v>16</v>
      </c>
      <c r="D16" s="15" t="s">
        <v>548</v>
      </c>
      <c r="E16" s="15" t="s">
        <v>9</v>
      </c>
    </row>
    <row r="17" spans="1:5" ht="30" x14ac:dyDescent="0.25">
      <c r="A17" s="15" t="s">
        <v>133</v>
      </c>
      <c r="B17" s="15" t="s">
        <v>111</v>
      </c>
      <c r="C17" s="15" t="s">
        <v>16</v>
      </c>
      <c r="D17" s="15" t="s">
        <v>547</v>
      </c>
      <c r="E17" s="15" t="s">
        <v>9</v>
      </c>
    </row>
    <row r="18" spans="1:5" x14ac:dyDescent="0.25">
      <c r="A18" s="15" t="s">
        <v>133</v>
      </c>
      <c r="B18" s="15" t="s">
        <v>111</v>
      </c>
      <c r="C18" s="15" t="s">
        <v>16</v>
      </c>
      <c r="D18" s="15" t="s">
        <v>544</v>
      </c>
      <c r="E18" s="15" t="s">
        <v>9</v>
      </c>
    </row>
    <row r="19" spans="1:5" ht="30" x14ac:dyDescent="0.25">
      <c r="A19" s="15" t="s">
        <v>133</v>
      </c>
      <c r="B19" s="15" t="s">
        <v>111</v>
      </c>
      <c r="C19" s="15" t="s">
        <v>16</v>
      </c>
      <c r="D19" s="15" t="s">
        <v>546</v>
      </c>
      <c r="E19" s="15" t="s">
        <v>9</v>
      </c>
    </row>
    <row r="20" spans="1:5" ht="30" x14ac:dyDescent="0.25">
      <c r="A20" s="15" t="s">
        <v>133</v>
      </c>
      <c r="B20" s="15" t="s">
        <v>111</v>
      </c>
      <c r="C20" s="15" t="s">
        <v>16</v>
      </c>
      <c r="D20" s="15" t="s">
        <v>545</v>
      </c>
      <c r="E20" s="15" t="s">
        <v>9</v>
      </c>
    </row>
    <row r="21" spans="1:5" x14ac:dyDescent="0.25">
      <c r="A21" s="15" t="s">
        <v>134</v>
      </c>
      <c r="B21" s="15" t="s">
        <v>114</v>
      </c>
      <c r="C21" s="15" t="s">
        <v>16</v>
      </c>
      <c r="D21" s="15" t="s">
        <v>139</v>
      </c>
      <c r="E21" s="15" t="s">
        <v>148</v>
      </c>
    </row>
    <row r="22" spans="1:5" x14ac:dyDescent="0.25">
      <c r="A22" s="15" t="s">
        <v>14</v>
      </c>
      <c r="B22" s="15" t="s">
        <v>15</v>
      </c>
      <c r="C22" s="15" t="s">
        <v>16</v>
      </c>
      <c r="D22" s="15" t="s">
        <v>146</v>
      </c>
      <c r="E22" s="15" t="s">
        <v>9</v>
      </c>
    </row>
    <row r="23" spans="1:5" x14ac:dyDescent="0.25">
      <c r="A23" s="15" t="s">
        <v>14</v>
      </c>
      <c r="B23" s="15" t="s">
        <v>15</v>
      </c>
      <c r="C23" s="15" t="s">
        <v>16</v>
      </c>
      <c r="D23" s="15" t="s">
        <v>517</v>
      </c>
      <c r="E23" s="15" t="s">
        <v>9</v>
      </c>
    </row>
    <row r="24" spans="1:5" x14ac:dyDescent="0.25">
      <c r="A24" s="15" t="s">
        <v>14</v>
      </c>
      <c r="B24" s="15" t="s">
        <v>15</v>
      </c>
      <c r="C24" s="15" t="s">
        <v>16</v>
      </c>
      <c r="D24" s="15" t="s">
        <v>544</v>
      </c>
      <c r="E24" s="15" t="s">
        <v>9</v>
      </c>
    </row>
    <row r="25" spans="1:5" ht="30" x14ac:dyDescent="0.25">
      <c r="A25" s="15" t="s">
        <v>14</v>
      </c>
      <c r="B25" s="15" t="s">
        <v>15</v>
      </c>
      <c r="C25" s="15" t="s">
        <v>16</v>
      </c>
      <c r="D25" s="15" t="s">
        <v>545</v>
      </c>
      <c r="E25" s="15" t="s">
        <v>9</v>
      </c>
    </row>
    <row r="26" spans="1:5" ht="30" x14ac:dyDescent="0.25">
      <c r="A26" s="15" t="s">
        <v>14</v>
      </c>
      <c r="B26" s="15" t="s">
        <v>15</v>
      </c>
      <c r="C26" s="15" t="s">
        <v>16</v>
      </c>
      <c r="D26" s="15" t="s">
        <v>546</v>
      </c>
      <c r="E26" s="15" t="s">
        <v>9</v>
      </c>
    </row>
    <row r="27" spans="1:5" ht="30" x14ac:dyDescent="0.25">
      <c r="A27" s="15" t="s">
        <v>14</v>
      </c>
      <c r="B27" s="15" t="s">
        <v>15</v>
      </c>
      <c r="C27" s="15" t="s">
        <v>16</v>
      </c>
      <c r="D27" s="15" t="s">
        <v>547</v>
      </c>
      <c r="E27" s="15" t="s">
        <v>9</v>
      </c>
    </row>
    <row r="28" spans="1:5" ht="30" x14ac:dyDescent="0.25">
      <c r="A28" s="15" t="s">
        <v>14</v>
      </c>
      <c r="B28" s="15" t="s">
        <v>15</v>
      </c>
      <c r="C28" s="15" t="s">
        <v>16</v>
      </c>
      <c r="D28" s="15" t="s">
        <v>548</v>
      </c>
      <c r="E28" s="15" t="s">
        <v>9</v>
      </c>
    </row>
    <row r="29" spans="1:5" x14ac:dyDescent="0.25">
      <c r="A29" s="15" t="s">
        <v>14</v>
      </c>
      <c r="B29" s="15" t="s">
        <v>15</v>
      </c>
      <c r="C29" s="15" t="s">
        <v>16</v>
      </c>
      <c r="D29" s="15" t="s">
        <v>549</v>
      </c>
      <c r="E29" s="15" t="s">
        <v>9</v>
      </c>
    </row>
    <row r="30" spans="1:5" ht="30" x14ac:dyDescent="0.25">
      <c r="A30" s="15" t="s">
        <v>14</v>
      </c>
      <c r="B30" s="15" t="s">
        <v>15</v>
      </c>
      <c r="C30" s="15" t="s">
        <v>16</v>
      </c>
      <c r="D30" s="15" t="s">
        <v>550</v>
      </c>
      <c r="E30" s="15" t="s">
        <v>9</v>
      </c>
    </row>
    <row r="31" spans="1:5" x14ac:dyDescent="0.25">
      <c r="A31" s="15" t="s">
        <v>149</v>
      </c>
      <c r="B31" s="15" t="s">
        <v>15</v>
      </c>
      <c r="C31" s="15" t="s">
        <v>112</v>
      </c>
      <c r="D31" s="15" t="s">
        <v>146</v>
      </c>
      <c r="E31" s="15" t="s">
        <v>9</v>
      </c>
    </row>
    <row r="32" spans="1:5" x14ac:dyDescent="0.25">
      <c r="A32" s="15" t="s">
        <v>149</v>
      </c>
      <c r="B32" s="15" t="s">
        <v>15</v>
      </c>
      <c r="C32" s="15" t="s">
        <v>112</v>
      </c>
      <c r="D32" s="15" t="s">
        <v>517</v>
      </c>
      <c r="E32" s="15" t="s">
        <v>9</v>
      </c>
    </row>
    <row r="33" spans="1:5" ht="30" x14ac:dyDescent="0.25">
      <c r="A33" s="15" t="s">
        <v>149</v>
      </c>
      <c r="B33" s="15" t="s">
        <v>15</v>
      </c>
      <c r="C33" s="15" t="s">
        <v>112</v>
      </c>
      <c r="D33" s="15" t="s">
        <v>545</v>
      </c>
      <c r="E33" s="15" t="s">
        <v>9</v>
      </c>
    </row>
    <row r="34" spans="1:5" ht="30" x14ac:dyDescent="0.25">
      <c r="A34" s="15" t="s">
        <v>149</v>
      </c>
      <c r="B34" s="15" t="s">
        <v>15</v>
      </c>
      <c r="C34" s="15" t="s">
        <v>112</v>
      </c>
      <c r="D34" s="15" t="s">
        <v>547</v>
      </c>
      <c r="E34" s="15" t="s">
        <v>9</v>
      </c>
    </row>
    <row r="35" spans="1:5" x14ac:dyDescent="0.25">
      <c r="A35" s="15" t="s">
        <v>149</v>
      </c>
      <c r="B35" s="15" t="s">
        <v>15</v>
      </c>
      <c r="C35" s="15" t="s">
        <v>112</v>
      </c>
      <c r="D35" s="15" t="s">
        <v>549</v>
      </c>
      <c r="E35" s="15" t="s">
        <v>9</v>
      </c>
    </row>
    <row r="36" spans="1:5" ht="30" x14ac:dyDescent="0.25">
      <c r="A36" s="15" t="s">
        <v>149</v>
      </c>
      <c r="B36" s="15" t="s">
        <v>15</v>
      </c>
      <c r="C36" s="15" t="s">
        <v>112</v>
      </c>
      <c r="D36" s="15" t="s">
        <v>550</v>
      </c>
      <c r="E36" s="15" t="s">
        <v>9</v>
      </c>
    </row>
    <row r="37" spans="1:5" x14ac:dyDescent="0.25">
      <c r="A37" s="15" t="s">
        <v>113</v>
      </c>
      <c r="B37" s="15" t="s">
        <v>114</v>
      </c>
      <c r="C37" s="15" t="s">
        <v>112</v>
      </c>
      <c r="D37" s="15" t="s">
        <v>139</v>
      </c>
      <c r="E37" s="15" t="s">
        <v>9</v>
      </c>
    </row>
    <row r="38" spans="1:5" x14ac:dyDescent="0.25">
      <c r="A38" s="15" t="s">
        <v>110</v>
      </c>
      <c r="B38" s="15" t="s">
        <v>111</v>
      </c>
      <c r="C38" s="15" t="s">
        <v>112</v>
      </c>
      <c r="D38" s="15" t="s">
        <v>139</v>
      </c>
      <c r="E38" s="15" t="s">
        <v>9</v>
      </c>
    </row>
    <row r="39" spans="1:5" x14ac:dyDescent="0.25">
      <c r="A39" s="15" t="s">
        <v>110</v>
      </c>
      <c r="B39" s="15" t="s">
        <v>111</v>
      </c>
      <c r="C39" s="15" t="s">
        <v>112</v>
      </c>
      <c r="D39" s="15" t="s">
        <v>146</v>
      </c>
      <c r="E39" s="15" t="s">
        <v>9</v>
      </c>
    </row>
    <row r="40" spans="1:5" x14ac:dyDescent="0.25">
      <c r="A40" s="15" t="s">
        <v>110</v>
      </c>
      <c r="B40" s="15" t="s">
        <v>111</v>
      </c>
      <c r="C40" s="15" t="s">
        <v>112</v>
      </c>
      <c r="D40" s="15" t="s">
        <v>517</v>
      </c>
      <c r="E40" s="15" t="s">
        <v>9</v>
      </c>
    </row>
    <row r="41" spans="1:5" x14ac:dyDescent="0.25">
      <c r="A41" s="15" t="s">
        <v>110</v>
      </c>
      <c r="B41" s="15" t="s">
        <v>111</v>
      </c>
      <c r="C41" s="15" t="s">
        <v>112</v>
      </c>
      <c r="D41" s="15" t="s">
        <v>516</v>
      </c>
      <c r="E41" s="15" t="s">
        <v>9</v>
      </c>
    </row>
    <row r="42" spans="1:5" x14ac:dyDescent="0.25">
      <c r="A42" s="15" t="s">
        <v>110</v>
      </c>
      <c r="B42" s="15" t="s">
        <v>111</v>
      </c>
      <c r="C42" s="15" t="s">
        <v>112</v>
      </c>
      <c r="D42" s="15" t="s">
        <v>549</v>
      </c>
      <c r="E42" s="15" t="s">
        <v>9</v>
      </c>
    </row>
    <row r="43" spans="1:5" ht="30" x14ac:dyDescent="0.25">
      <c r="A43" s="15" t="s">
        <v>110</v>
      </c>
      <c r="B43" s="15" t="s">
        <v>111</v>
      </c>
      <c r="C43" s="15" t="s">
        <v>112</v>
      </c>
      <c r="D43" s="15" t="s">
        <v>550</v>
      </c>
      <c r="E43" s="15" t="s">
        <v>9</v>
      </c>
    </row>
    <row r="44" spans="1:5" ht="30" x14ac:dyDescent="0.25">
      <c r="A44" s="15" t="s">
        <v>110</v>
      </c>
      <c r="B44" s="15" t="s">
        <v>111</v>
      </c>
      <c r="C44" s="15" t="s">
        <v>112</v>
      </c>
      <c r="D44" s="15" t="s">
        <v>551</v>
      </c>
      <c r="E44" s="15" t="s">
        <v>9</v>
      </c>
    </row>
    <row r="45" spans="1:5" ht="30" x14ac:dyDescent="0.25">
      <c r="A45" s="15" t="s">
        <v>110</v>
      </c>
      <c r="B45" s="15" t="s">
        <v>111</v>
      </c>
      <c r="C45" s="15" t="s">
        <v>112</v>
      </c>
      <c r="D45" s="15" t="s">
        <v>548</v>
      </c>
      <c r="E45" s="15" t="s">
        <v>9</v>
      </c>
    </row>
    <row r="46" spans="1:5" ht="30" x14ac:dyDescent="0.25">
      <c r="A46" s="15" t="s">
        <v>110</v>
      </c>
      <c r="B46" s="15" t="s">
        <v>111</v>
      </c>
      <c r="C46" s="15" t="s">
        <v>112</v>
      </c>
      <c r="D46" s="15" t="s">
        <v>547</v>
      </c>
      <c r="E46" s="15" t="s">
        <v>9</v>
      </c>
    </row>
    <row r="47" spans="1:5" x14ac:dyDescent="0.25">
      <c r="A47" s="15" t="s">
        <v>110</v>
      </c>
      <c r="B47" s="15" t="s">
        <v>111</v>
      </c>
      <c r="C47" s="15" t="s">
        <v>112</v>
      </c>
      <c r="D47" s="15" t="s">
        <v>544</v>
      </c>
      <c r="E47" s="15" t="s">
        <v>9</v>
      </c>
    </row>
    <row r="48" spans="1:5" ht="30" x14ac:dyDescent="0.25">
      <c r="A48" s="15" t="s">
        <v>110</v>
      </c>
      <c r="B48" s="15" t="s">
        <v>111</v>
      </c>
      <c r="C48" s="15" t="s">
        <v>112</v>
      </c>
      <c r="D48" s="15" t="s">
        <v>546</v>
      </c>
      <c r="E48" s="15" t="s">
        <v>9</v>
      </c>
    </row>
    <row r="49" spans="1:5" ht="30" x14ac:dyDescent="0.25">
      <c r="A49" s="15" t="s">
        <v>110</v>
      </c>
      <c r="B49" s="15" t="s">
        <v>111</v>
      </c>
      <c r="C49" s="15" t="s">
        <v>112</v>
      </c>
      <c r="D49" s="15" t="s">
        <v>545</v>
      </c>
      <c r="E49" s="15" t="s">
        <v>9</v>
      </c>
    </row>
    <row r="50" spans="1:5" ht="30" x14ac:dyDescent="0.25">
      <c r="A50" s="15" t="s">
        <v>21</v>
      </c>
      <c r="B50" s="15" t="s">
        <v>22</v>
      </c>
      <c r="C50" s="15" t="s">
        <v>23</v>
      </c>
      <c r="D50" s="15" t="s">
        <v>146</v>
      </c>
      <c r="E50" s="15" t="s">
        <v>359</v>
      </c>
    </row>
    <row r="51" spans="1:5" ht="30" x14ac:dyDescent="0.25">
      <c r="A51" s="15" t="s">
        <v>21</v>
      </c>
      <c r="B51" s="15" t="s">
        <v>22</v>
      </c>
      <c r="C51" s="15" t="s">
        <v>23</v>
      </c>
      <c r="D51" s="15" t="s">
        <v>514</v>
      </c>
      <c r="E51" s="15" t="s">
        <v>359</v>
      </c>
    </row>
    <row r="52" spans="1:5" x14ac:dyDescent="0.25">
      <c r="A52" s="15" t="s">
        <v>21</v>
      </c>
      <c r="B52" s="15" t="s">
        <v>22</v>
      </c>
      <c r="C52" s="15" t="s">
        <v>23</v>
      </c>
      <c r="D52" s="15" t="s">
        <v>518</v>
      </c>
      <c r="E52" s="15" t="s">
        <v>121</v>
      </c>
    </row>
    <row r="53" spans="1:5" ht="30" x14ac:dyDescent="0.25">
      <c r="A53" s="15" t="s">
        <v>118</v>
      </c>
      <c r="B53" s="15" t="s">
        <v>119</v>
      </c>
      <c r="C53" s="15" t="s">
        <v>120</v>
      </c>
      <c r="D53" s="15" t="s">
        <v>139</v>
      </c>
      <c r="E53" s="15" t="s">
        <v>121</v>
      </c>
    </row>
    <row r="54" spans="1:5" ht="30" x14ac:dyDescent="0.25">
      <c r="A54" s="15" t="s">
        <v>32</v>
      </c>
      <c r="B54" s="15" t="s">
        <v>22</v>
      </c>
      <c r="C54" s="15" t="s">
        <v>31</v>
      </c>
      <c r="D54" s="15" t="s">
        <v>146</v>
      </c>
      <c r="E54" s="15" t="s">
        <v>359</v>
      </c>
    </row>
    <row r="55" spans="1:5" ht="30" x14ac:dyDescent="0.25">
      <c r="A55" s="15" t="s">
        <v>32</v>
      </c>
      <c r="B55" s="15" t="s">
        <v>22</v>
      </c>
      <c r="C55" s="15" t="s">
        <v>31</v>
      </c>
      <c r="D55" s="15" t="s">
        <v>514</v>
      </c>
      <c r="E55" s="15" t="s">
        <v>359</v>
      </c>
    </row>
    <row r="56" spans="1:5" x14ac:dyDescent="0.25">
      <c r="A56" s="15" t="s">
        <v>32</v>
      </c>
      <c r="B56" s="15" t="s">
        <v>22</v>
      </c>
      <c r="C56" s="15" t="s">
        <v>31</v>
      </c>
      <c r="D56" s="15" t="s">
        <v>518</v>
      </c>
      <c r="E56" s="15" t="s">
        <v>121</v>
      </c>
    </row>
    <row r="57" spans="1:5" x14ac:dyDescent="0.25">
      <c r="A57" s="15" t="s">
        <v>152</v>
      </c>
      <c r="B57" s="15" t="s">
        <v>153</v>
      </c>
      <c r="C57" s="15" t="s">
        <v>56</v>
      </c>
      <c r="D57" s="15" t="s">
        <v>146</v>
      </c>
      <c r="E57" s="15" t="s">
        <v>9</v>
      </c>
    </row>
    <row r="58" spans="1:5" x14ac:dyDescent="0.25">
      <c r="A58" s="15" t="s">
        <v>156</v>
      </c>
      <c r="B58" s="15" t="s">
        <v>155</v>
      </c>
      <c r="C58" s="15" t="s">
        <v>56</v>
      </c>
      <c r="D58" s="15" t="s">
        <v>146</v>
      </c>
      <c r="E58" s="15" t="s">
        <v>122</v>
      </c>
    </row>
    <row r="59" spans="1:5" ht="30" x14ac:dyDescent="0.25">
      <c r="A59" s="15" t="s">
        <v>156</v>
      </c>
      <c r="B59" s="15" t="s">
        <v>155</v>
      </c>
      <c r="C59" s="15" t="s">
        <v>56</v>
      </c>
      <c r="D59" s="15" t="s">
        <v>524</v>
      </c>
      <c r="E59" s="15" t="s">
        <v>122</v>
      </c>
    </row>
    <row r="60" spans="1:5" ht="30" x14ac:dyDescent="0.25">
      <c r="A60" s="15" t="s">
        <v>156</v>
      </c>
      <c r="B60" s="15" t="s">
        <v>155</v>
      </c>
      <c r="C60" s="15" t="s">
        <v>56</v>
      </c>
      <c r="D60" s="15" t="s">
        <v>536</v>
      </c>
      <c r="E60" s="15" t="s">
        <v>122</v>
      </c>
    </row>
    <row r="61" spans="1:5" x14ac:dyDescent="0.25">
      <c r="A61" s="15" t="s">
        <v>156</v>
      </c>
      <c r="B61" s="15" t="s">
        <v>155</v>
      </c>
      <c r="C61" s="15" t="s">
        <v>56</v>
      </c>
      <c r="D61" s="15" t="s">
        <v>517</v>
      </c>
      <c r="E61" s="15" t="s">
        <v>122</v>
      </c>
    </row>
    <row r="62" spans="1:5" x14ac:dyDescent="0.25">
      <c r="A62" s="15" t="s">
        <v>156</v>
      </c>
      <c r="B62" s="15" t="s">
        <v>155</v>
      </c>
      <c r="C62" s="15" t="s">
        <v>56</v>
      </c>
      <c r="D62" s="15" t="s">
        <v>549</v>
      </c>
      <c r="E62" s="15" t="s">
        <v>122</v>
      </c>
    </row>
    <row r="63" spans="1:5" ht="45" x14ac:dyDescent="0.25">
      <c r="A63" s="15" t="s">
        <v>156</v>
      </c>
      <c r="B63" s="15" t="s">
        <v>155</v>
      </c>
      <c r="C63" s="15" t="s">
        <v>56</v>
      </c>
      <c r="D63" s="15" t="s">
        <v>567</v>
      </c>
      <c r="E63" s="15" t="s">
        <v>122</v>
      </c>
    </row>
    <row r="64" spans="1:5" ht="45" x14ac:dyDescent="0.25">
      <c r="A64" s="15" t="s">
        <v>156</v>
      </c>
      <c r="B64" s="15" t="s">
        <v>155</v>
      </c>
      <c r="C64" s="15" t="s">
        <v>56</v>
      </c>
      <c r="D64" s="15" t="s">
        <v>557</v>
      </c>
      <c r="E64" s="15" t="s">
        <v>122</v>
      </c>
    </row>
    <row r="65" spans="1:5" ht="30" x14ac:dyDescent="0.25">
      <c r="A65" s="15" t="s">
        <v>156</v>
      </c>
      <c r="B65" s="15" t="s">
        <v>155</v>
      </c>
      <c r="C65" s="15" t="s">
        <v>56</v>
      </c>
      <c r="D65" s="15" t="s">
        <v>550</v>
      </c>
      <c r="E65" s="15" t="s">
        <v>122</v>
      </c>
    </row>
    <row r="66" spans="1:5" ht="30" x14ac:dyDescent="0.25">
      <c r="A66" s="15" t="s">
        <v>156</v>
      </c>
      <c r="B66" s="15" t="s">
        <v>155</v>
      </c>
      <c r="C66" s="15" t="s">
        <v>56</v>
      </c>
      <c r="D66" s="15" t="s">
        <v>547</v>
      </c>
      <c r="E66" s="15" t="s">
        <v>122</v>
      </c>
    </row>
    <row r="67" spans="1:5" ht="30" x14ac:dyDescent="0.25">
      <c r="A67" s="15" t="s">
        <v>156</v>
      </c>
      <c r="B67" s="15" t="s">
        <v>155</v>
      </c>
      <c r="C67" s="15" t="s">
        <v>56</v>
      </c>
      <c r="D67" s="15" t="s">
        <v>548</v>
      </c>
      <c r="E67" s="15" t="s">
        <v>122</v>
      </c>
    </row>
    <row r="68" spans="1:5" ht="45" x14ac:dyDescent="0.25">
      <c r="A68" s="15" t="s">
        <v>156</v>
      </c>
      <c r="B68" s="15" t="s">
        <v>155</v>
      </c>
      <c r="C68" s="15" t="s">
        <v>56</v>
      </c>
      <c r="D68" s="15" t="s">
        <v>578</v>
      </c>
      <c r="E68" s="15" t="s">
        <v>122</v>
      </c>
    </row>
    <row r="69" spans="1:5" ht="45" x14ac:dyDescent="0.25">
      <c r="A69" s="15" t="s">
        <v>156</v>
      </c>
      <c r="B69" s="15" t="s">
        <v>155</v>
      </c>
      <c r="C69" s="15" t="s">
        <v>56</v>
      </c>
      <c r="D69" s="15" t="s">
        <v>580</v>
      </c>
      <c r="E69" s="15" t="s">
        <v>122</v>
      </c>
    </row>
    <row r="70" spans="1:5" x14ac:dyDescent="0.25">
      <c r="A70" s="15" t="s">
        <v>156</v>
      </c>
      <c r="B70" s="15" t="s">
        <v>155</v>
      </c>
      <c r="C70" s="15" t="s">
        <v>56</v>
      </c>
      <c r="D70" s="15" t="s">
        <v>544</v>
      </c>
      <c r="E70" s="15" t="s">
        <v>122</v>
      </c>
    </row>
    <row r="71" spans="1:5" ht="30" x14ac:dyDescent="0.25">
      <c r="A71" s="15" t="s">
        <v>156</v>
      </c>
      <c r="B71" s="15" t="s">
        <v>155</v>
      </c>
      <c r="C71" s="15" t="s">
        <v>56</v>
      </c>
      <c r="D71" s="15" t="s">
        <v>583</v>
      </c>
      <c r="E71" s="15" t="s">
        <v>122</v>
      </c>
    </row>
    <row r="72" spans="1:5" ht="30" x14ac:dyDescent="0.25">
      <c r="A72" s="15" t="s">
        <v>156</v>
      </c>
      <c r="B72" s="15" t="s">
        <v>155</v>
      </c>
      <c r="C72" s="15" t="s">
        <v>56</v>
      </c>
      <c r="D72" s="15" t="s">
        <v>587</v>
      </c>
      <c r="E72" s="15" t="s">
        <v>122</v>
      </c>
    </row>
    <row r="73" spans="1:5" ht="30" x14ac:dyDescent="0.25">
      <c r="A73" s="15" t="s">
        <v>156</v>
      </c>
      <c r="B73" s="15" t="s">
        <v>155</v>
      </c>
      <c r="C73" s="15" t="s">
        <v>56</v>
      </c>
      <c r="D73" s="15" t="s">
        <v>545</v>
      </c>
      <c r="E73" s="15" t="s">
        <v>122</v>
      </c>
    </row>
    <row r="74" spans="1:5" ht="30" x14ac:dyDescent="0.25">
      <c r="A74" s="15" t="s">
        <v>156</v>
      </c>
      <c r="B74" s="15" t="s">
        <v>155</v>
      </c>
      <c r="C74" s="15" t="s">
        <v>56</v>
      </c>
      <c r="D74" s="15" t="s">
        <v>546</v>
      </c>
      <c r="E74" s="15" t="s">
        <v>122</v>
      </c>
    </row>
    <row r="75" spans="1:5" x14ac:dyDescent="0.25">
      <c r="A75" s="15" t="s">
        <v>154</v>
      </c>
      <c r="B75" s="15" t="s">
        <v>155</v>
      </c>
      <c r="C75" s="15" t="s">
        <v>38</v>
      </c>
      <c r="D75" s="15" t="s">
        <v>146</v>
      </c>
      <c r="E75" s="15" t="s">
        <v>122</v>
      </c>
    </row>
    <row r="76" spans="1:5" ht="30" x14ac:dyDescent="0.25">
      <c r="A76" s="15" t="s">
        <v>154</v>
      </c>
      <c r="B76" s="15" t="s">
        <v>155</v>
      </c>
      <c r="C76" s="15" t="s">
        <v>38</v>
      </c>
      <c r="D76" s="15" t="s">
        <v>524</v>
      </c>
      <c r="E76" s="15" t="s">
        <v>122</v>
      </c>
    </row>
    <row r="77" spans="1:5" ht="30" x14ac:dyDescent="0.25">
      <c r="A77" s="15" t="s">
        <v>154</v>
      </c>
      <c r="B77" s="15" t="s">
        <v>155</v>
      </c>
      <c r="C77" s="15" t="s">
        <v>38</v>
      </c>
      <c r="D77" s="15" t="s">
        <v>536</v>
      </c>
      <c r="E77" s="15" t="s">
        <v>122</v>
      </c>
    </row>
    <row r="78" spans="1:5" x14ac:dyDescent="0.25">
      <c r="A78" s="15" t="s">
        <v>154</v>
      </c>
      <c r="B78" s="15" t="s">
        <v>155</v>
      </c>
      <c r="C78" s="15" t="s">
        <v>38</v>
      </c>
      <c r="D78" s="15" t="s">
        <v>517</v>
      </c>
      <c r="E78" s="15" t="s">
        <v>122</v>
      </c>
    </row>
    <row r="79" spans="1:5" x14ac:dyDescent="0.25">
      <c r="A79" s="15" t="s">
        <v>154</v>
      </c>
      <c r="B79" s="15" t="s">
        <v>155</v>
      </c>
      <c r="C79" s="15" t="s">
        <v>38</v>
      </c>
      <c r="D79" s="15" t="s">
        <v>549</v>
      </c>
      <c r="E79" s="15" t="s">
        <v>122</v>
      </c>
    </row>
    <row r="80" spans="1:5" ht="45" x14ac:dyDescent="0.25">
      <c r="A80" s="15" t="s">
        <v>154</v>
      </c>
      <c r="B80" s="15" t="s">
        <v>155</v>
      </c>
      <c r="C80" s="15" t="s">
        <v>38</v>
      </c>
      <c r="D80" s="15" t="s">
        <v>567</v>
      </c>
      <c r="E80" s="15" t="s">
        <v>122</v>
      </c>
    </row>
    <row r="81" spans="1:5" ht="45" x14ac:dyDescent="0.25">
      <c r="A81" s="15" t="s">
        <v>154</v>
      </c>
      <c r="B81" s="15" t="s">
        <v>155</v>
      </c>
      <c r="C81" s="15" t="s">
        <v>38</v>
      </c>
      <c r="D81" s="15" t="s">
        <v>557</v>
      </c>
      <c r="E81" s="15" t="s">
        <v>122</v>
      </c>
    </row>
    <row r="82" spans="1:5" ht="30" x14ac:dyDescent="0.25">
      <c r="A82" s="15" t="s">
        <v>154</v>
      </c>
      <c r="B82" s="15" t="s">
        <v>155</v>
      </c>
      <c r="C82" s="15" t="s">
        <v>38</v>
      </c>
      <c r="D82" s="15" t="s">
        <v>550</v>
      </c>
      <c r="E82" s="15" t="s">
        <v>122</v>
      </c>
    </row>
    <row r="83" spans="1:5" ht="30" x14ac:dyDescent="0.25">
      <c r="A83" s="15" t="s">
        <v>154</v>
      </c>
      <c r="B83" s="15" t="s">
        <v>155</v>
      </c>
      <c r="C83" s="15" t="s">
        <v>38</v>
      </c>
      <c r="D83" s="15" t="s">
        <v>547</v>
      </c>
      <c r="E83" s="15" t="s">
        <v>122</v>
      </c>
    </row>
    <row r="84" spans="1:5" ht="30" x14ac:dyDescent="0.25">
      <c r="A84" s="15" t="s">
        <v>154</v>
      </c>
      <c r="B84" s="15" t="s">
        <v>155</v>
      </c>
      <c r="C84" s="15" t="s">
        <v>38</v>
      </c>
      <c r="D84" s="15" t="s">
        <v>548</v>
      </c>
      <c r="E84" s="15" t="s">
        <v>122</v>
      </c>
    </row>
    <row r="85" spans="1:5" ht="45" x14ac:dyDescent="0.25">
      <c r="A85" s="15" t="s">
        <v>154</v>
      </c>
      <c r="B85" s="15" t="s">
        <v>155</v>
      </c>
      <c r="C85" s="15" t="s">
        <v>38</v>
      </c>
      <c r="D85" s="15" t="s">
        <v>578</v>
      </c>
      <c r="E85" s="15" t="s">
        <v>122</v>
      </c>
    </row>
    <row r="86" spans="1:5" ht="45" x14ac:dyDescent="0.25">
      <c r="A86" s="15" t="s">
        <v>154</v>
      </c>
      <c r="B86" s="15" t="s">
        <v>155</v>
      </c>
      <c r="C86" s="15" t="s">
        <v>38</v>
      </c>
      <c r="D86" s="15" t="s">
        <v>580</v>
      </c>
      <c r="E86" s="15" t="s">
        <v>122</v>
      </c>
    </row>
    <row r="87" spans="1:5" x14ac:dyDescent="0.25">
      <c r="A87" s="15" t="s">
        <v>154</v>
      </c>
      <c r="B87" s="15" t="s">
        <v>155</v>
      </c>
      <c r="C87" s="15" t="s">
        <v>38</v>
      </c>
      <c r="D87" s="15" t="s">
        <v>544</v>
      </c>
      <c r="E87" s="15" t="s">
        <v>122</v>
      </c>
    </row>
    <row r="88" spans="1:5" ht="30" x14ac:dyDescent="0.25">
      <c r="A88" s="15" t="s">
        <v>154</v>
      </c>
      <c r="B88" s="15" t="s">
        <v>155</v>
      </c>
      <c r="C88" s="15" t="s">
        <v>38</v>
      </c>
      <c r="D88" s="15" t="s">
        <v>583</v>
      </c>
      <c r="E88" s="15" t="s">
        <v>122</v>
      </c>
    </row>
    <row r="89" spans="1:5" ht="30" x14ac:dyDescent="0.25">
      <c r="A89" s="15" t="s">
        <v>154</v>
      </c>
      <c r="B89" s="15" t="s">
        <v>155</v>
      </c>
      <c r="C89" s="15" t="s">
        <v>38</v>
      </c>
      <c r="D89" s="15" t="s">
        <v>587</v>
      </c>
      <c r="E89" s="15" t="s">
        <v>122</v>
      </c>
    </row>
    <row r="90" spans="1:5" ht="30" x14ac:dyDescent="0.25">
      <c r="A90" s="15" t="s">
        <v>154</v>
      </c>
      <c r="B90" s="15" t="s">
        <v>155</v>
      </c>
      <c r="C90" s="15" t="s">
        <v>38</v>
      </c>
      <c r="D90" s="15" t="s">
        <v>545</v>
      </c>
      <c r="E90" s="15" t="s">
        <v>122</v>
      </c>
    </row>
    <row r="91" spans="1:5" ht="30" x14ac:dyDescent="0.25">
      <c r="A91" s="15" t="s">
        <v>154</v>
      </c>
      <c r="B91" s="15" t="s">
        <v>155</v>
      </c>
      <c r="C91" s="15" t="s">
        <v>38</v>
      </c>
      <c r="D91" s="15" t="s">
        <v>546</v>
      </c>
      <c r="E91" s="15" t="s">
        <v>122</v>
      </c>
    </row>
    <row r="92" spans="1:5" ht="60" x14ac:dyDescent="0.25">
      <c r="A92" s="15" t="s">
        <v>135</v>
      </c>
      <c r="B92" s="15" t="s">
        <v>136</v>
      </c>
      <c r="C92" s="15" t="s">
        <v>137</v>
      </c>
      <c r="D92" s="15" t="s">
        <v>139</v>
      </c>
      <c r="E92" s="15" t="s">
        <v>576</v>
      </c>
    </row>
    <row r="93" spans="1:5" ht="60" x14ac:dyDescent="0.25">
      <c r="A93" s="15" t="s">
        <v>135</v>
      </c>
      <c r="B93" s="15" t="s">
        <v>136</v>
      </c>
      <c r="C93" s="15" t="s">
        <v>137</v>
      </c>
      <c r="D93" s="15" t="s">
        <v>518</v>
      </c>
      <c r="E93" s="15" t="s">
        <v>588</v>
      </c>
    </row>
    <row r="94" spans="1:5" ht="60" x14ac:dyDescent="0.25">
      <c r="A94" s="15" t="s">
        <v>135</v>
      </c>
      <c r="B94" s="15" t="s">
        <v>136</v>
      </c>
      <c r="C94" s="15" t="s">
        <v>137</v>
      </c>
      <c r="D94" s="15" t="s">
        <v>522</v>
      </c>
      <c r="E94" s="15" t="s">
        <v>569</v>
      </c>
    </row>
    <row r="95" spans="1:5" ht="60" x14ac:dyDescent="0.25">
      <c r="A95" s="15" t="s">
        <v>135</v>
      </c>
      <c r="B95" s="15" t="s">
        <v>136</v>
      </c>
      <c r="C95" s="15" t="s">
        <v>137</v>
      </c>
      <c r="D95" s="15" t="s">
        <v>520</v>
      </c>
      <c r="E95" s="15" t="s">
        <v>543</v>
      </c>
    </row>
    <row r="96" spans="1:5" ht="60" x14ac:dyDescent="0.25">
      <c r="A96" s="15" t="s">
        <v>135</v>
      </c>
      <c r="B96" s="15" t="s">
        <v>136</v>
      </c>
      <c r="C96" s="15" t="s">
        <v>137</v>
      </c>
      <c r="D96" s="15" t="s">
        <v>526</v>
      </c>
      <c r="E96" s="15" t="s">
        <v>528</v>
      </c>
    </row>
    <row r="97" spans="1:5" ht="45" x14ac:dyDescent="0.25">
      <c r="A97" s="15" t="s">
        <v>135</v>
      </c>
      <c r="B97" s="15" t="s">
        <v>136</v>
      </c>
      <c r="C97" s="15" t="s">
        <v>137</v>
      </c>
      <c r="D97" s="15" t="s">
        <v>525</v>
      </c>
      <c r="E97" s="15" t="s">
        <v>284</v>
      </c>
    </row>
    <row r="98" spans="1:5" ht="60" x14ac:dyDescent="0.25">
      <c r="A98" s="15" t="s">
        <v>135</v>
      </c>
      <c r="B98" s="15" t="s">
        <v>136</v>
      </c>
      <c r="C98" s="15" t="s">
        <v>137</v>
      </c>
      <c r="D98" s="15" t="s">
        <v>527</v>
      </c>
      <c r="E98" s="15" t="s">
        <v>577</v>
      </c>
    </row>
    <row r="99" spans="1:5" ht="60" x14ac:dyDescent="0.25">
      <c r="A99" s="15" t="s">
        <v>135</v>
      </c>
      <c r="B99" s="15" t="s">
        <v>136</v>
      </c>
      <c r="C99" s="15" t="s">
        <v>137</v>
      </c>
      <c r="D99" s="15" t="s">
        <v>530</v>
      </c>
      <c r="E99" s="15" t="s">
        <v>240</v>
      </c>
    </row>
    <row r="100" spans="1:5" ht="45" x14ac:dyDescent="0.25">
      <c r="A100" s="15" t="s">
        <v>135</v>
      </c>
      <c r="B100" s="15" t="s">
        <v>136</v>
      </c>
      <c r="C100" s="15" t="s">
        <v>137</v>
      </c>
      <c r="D100" s="15" t="s">
        <v>529</v>
      </c>
      <c r="E100" s="15" t="s">
        <v>237</v>
      </c>
    </row>
    <row r="101" spans="1:5" ht="60" x14ac:dyDescent="0.25">
      <c r="A101" s="15" t="s">
        <v>135</v>
      </c>
      <c r="B101" s="15" t="s">
        <v>136</v>
      </c>
      <c r="C101" s="15" t="s">
        <v>137</v>
      </c>
      <c r="D101" s="15" t="s">
        <v>531</v>
      </c>
      <c r="E101" s="15" t="s">
        <v>577</v>
      </c>
    </row>
    <row r="102" spans="1:5" ht="60" x14ac:dyDescent="0.25">
      <c r="A102" s="15" t="s">
        <v>135</v>
      </c>
      <c r="B102" s="15" t="s">
        <v>136</v>
      </c>
      <c r="C102" s="15" t="s">
        <v>137</v>
      </c>
      <c r="D102" s="15" t="s">
        <v>532</v>
      </c>
      <c r="E102" s="15" t="s">
        <v>543</v>
      </c>
    </row>
    <row r="103" spans="1:5" ht="45" x14ac:dyDescent="0.25">
      <c r="A103" s="15" t="s">
        <v>135</v>
      </c>
      <c r="B103" s="15" t="s">
        <v>136</v>
      </c>
      <c r="C103" s="15" t="s">
        <v>137</v>
      </c>
      <c r="D103" s="15" t="s">
        <v>514</v>
      </c>
      <c r="E103" s="15" t="s">
        <v>271</v>
      </c>
    </row>
    <row r="104" spans="1:5" ht="45" x14ac:dyDescent="0.25">
      <c r="A104" s="15" t="s">
        <v>135</v>
      </c>
      <c r="B104" s="15" t="s">
        <v>136</v>
      </c>
      <c r="C104" s="15" t="s">
        <v>137</v>
      </c>
      <c r="D104" s="15" t="s">
        <v>534</v>
      </c>
      <c r="E104" s="15" t="s">
        <v>237</v>
      </c>
    </row>
    <row r="105" spans="1:5" ht="60" x14ac:dyDescent="0.25">
      <c r="A105" s="15" t="s">
        <v>135</v>
      </c>
      <c r="B105" s="15" t="s">
        <v>136</v>
      </c>
      <c r="C105" s="15" t="s">
        <v>137</v>
      </c>
      <c r="D105" s="15" t="s">
        <v>533</v>
      </c>
      <c r="E105" s="15" t="s">
        <v>577</v>
      </c>
    </row>
    <row r="106" spans="1:5" ht="60" x14ac:dyDescent="0.25">
      <c r="A106" s="15" t="s">
        <v>135</v>
      </c>
      <c r="B106" s="15" t="s">
        <v>136</v>
      </c>
      <c r="C106" s="15" t="s">
        <v>137</v>
      </c>
      <c r="D106" s="15" t="s">
        <v>537</v>
      </c>
      <c r="E106" s="15" t="s">
        <v>543</v>
      </c>
    </row>
    <row r="107" spans="1:5" ht="45" x14ac:dyDescent="0.25">
      <c r="A107" s="15" t="s">
        <v>135</v>
      </c>
      <c r="B107" s="15" t="s">
        <v>136</v>
      </c>
      <c r="C107" s="15" t="s">
        <v>137</v>
      </c>
      <c r="D107" s="15" t="s">
        <v>538</v>
      </c>
      <c r="E107" s="15" t="s">
        <v>380</v>
      </c>
    </row>
    <row r="108" spans="1:5" ht="45" x14ac:dyDescent="0.25">
      <c r="A108" s="15" t="s">
        <v>135</v>
      </c>
      <c r="B108" s="15" t="s">
        <v>136</v>
      </c>
      <c r="C108" s="15" t="s">
        <v>137</v>
      </c>
      <c r="D108" s="15" t="s">
        <v>535</v>
      </c>
      <c r="E108" s="15" t="s">
        <v>380</v>
      </c>
    </row>
    <row r="109" spans="1:5" ht="45" x14ac:dyDescent="0.25">
      <c r="A109" s="15" t="s">
        <v>135</v>
      </c>
      <c r="B109" s="15" t="s">
        <v>136</v>
      </c>
      <c r="C109" s="15" t="s">
        <v>137</v>
      </c>
      <c r="D109" s="15" t="s">
        <v>539</v>
      </c>
      <c r="E109" s="15" t="s">
        <v>271</v>
      </c>
    </row>
    <row r="110" spans="1:5" ht="45" x14ac:dyDescent="0.25">
      <c r="A110" s="15" t="s">
        <v>135</v>
      </c>
      <c r="B110" s="15" t="s">
        <v>136</v>
      </c>
      <c r="C110" s="15" t="s">
        <v>137</v>
      </c>
      <c r="D110" s="15" t="s">
        <v>540</v>
      </c>
      <c r="E110" s="15" t="s">
        <v>284</v>
      </c>
    </row>
    <row r="111" spans="1:5" ht="45" x14ac:dyDescent="0.25">
      <c r="A111" s="15" t="s">
        <v>135</v>
      </c>
      <c r="B111" s="15" t="s">
        <v>136</v>
      </c>
      <c r="C111" s="15" t="s">
        <v>137</v>
      </c>
      <c r="D111" s="15" t="s">
        <v>542</v>
      </c>
      <c r="E111" s="15" t="s">
        <v>237</v>
      </c>
    </row>
    <row r="112" spans="1:5" ht="60" x14ac:dyDescent="0.25">
      <c r="A112" s="15" t="s">
        <v>135</v>
      </c>
      <c r="B112" s="15" t="s">
        <v>136</v>
      </c>
      <c r="C112" s="15" t="s">
        <v>137</v>
      </c>
      <c r="D112" s="15" t="s">
        <v>541</v>
      </c>
      <c r="E112" s="15" t="s">
        <v>523</v>
      </c>
    </row>
    <row r="113" spans="1:5" ht="60" x14ac:dyDescent="0.25">
      <c r="A113" s="15" t="s">
        <v>135</v>
      </c>
      <c r="B113" s="15" t="s">
        <v>136</v>
      </c>
      <c r="C113" s="15" t="s">
        <v>137</v>
      </c>
      <c r="D113" s="15" t="s">
        <v>517</v>
      </c>
      <c r="E113" s="15" t="s">
        <v>240</v>
      </c>
    </row>
    <row r="114" spans="1:5" ht="60" x14ac:dyDescent="0.25">
      <c r="A114" s="15" t="s">
        <v>135</v>
      </c>
      <c r="B114" s="15" t="s">
        <v>136</v>
      </c>
      <c r="C114" s="15" t="s">
        <v>137</v>
      </c>
      <c r="D114" s="15" t="s">
        <v>516</v>
      </c>
      <c r="E114" s="15" t="s">
        <v>521</v>
      </c>
    </row>
    <row r="115" spans="1:5" ht="45" x14ac:dyDescent="0.25">
      <c r="A115" s="15" t="s">
        <v>135</v>
      </c>
      <c r="B115" s="15" t="s">
        <v>136</v>
      </c>
      <c r="C115" s="15" t="s">
        <v>137</v>
      </c>
      <c r="D115" s="15" t="s">
        <v>564</v>
      </c>
      <c r="E115" s="15" t="s">
        <v>271</v>
      </c>
    </row>
    <row r="116" spans="1:5" ht="60" x14ac:dyDescent="0.25">
      <c r="A116" s="15" t="s">
        <v>135</v>
      </c>
      <c r="B116" s="15" t="s">
        <v>136</v>
      </c>
      <c r="C116" s="15" t="s">
        <v>137</v>
      </c>
      <c r="D116" s="15" t="s">
        <v>566</v>
      </c>
      <c r="E116" s="15" t="s">
        <v>528</v>
      </c>
    </row>
    <row r="117" spans="1:5" ht="45" x14ac:dyDescent="0.25">
      <c r="A117" s="15" t="s">
        <v>135</v>
      </c>
      <c r="B117" s="15" t="s">
        <v>136</v>
      </c>
      <c r="C117" s="15" t="s">
        <v>137</v>
      </c>
      <c r="D117" s="15" t="s">
        <v>565</v>
      </c>
      <c r="E117" s="15" t="s">
        <v>271</v>
      </c>
    </row>
    <row r="118" spans="1:5" ht="45" x14ac:dyDescent="0.25">
      <c r="A118" s="15" t="s">
        <v>135</v>
      </c>
      <c r="B118" s="15" t="s">
        <v>136</v>
      </c>
      <c r="C118" s="15" t="s">
        <v>137</v>
      </c>
      <c r="D118" s="15" t="s">
        <v>571</v>
      </c>
      <c r="E118" s="15" t="s">
        <v>237</v>
      </c>
    </row>
    <row r="119" spans="1:5" ht="60" x14ac:dyDescent="0.25">
      <c r="A119" s="15" t="s">
        <v>135</v>
      </c>
      <c r="B119" s="15" t="s">
        <v>136</v>
      </c>
      <c r="C119" s="15" t="s">
        <v>137</v>
      </c>
      <c r="D119" s="15" t="s">
        <v>568</v>
      </c>
      <c r="E119" s="15" t="s">
        <v>523</v>
      </c>
    </row>
    <row r="120" spans="1:5" ht="45" x14ac:dyDescent="0.25">
      <c r="A120" s="15" t="s">
        <v>135</v>
      </c>
      <c r="B120" s="15" t="s">
        <v>136</v>
      </c>
      <c r="C120" s="15" t="s">
        <v>137</v>
      </c>
      <c r="D120" s="15" t="s">
        <v>570</v>
      </c>
      <c r="E120" s="15" t="s">
        <v>380</v>
      </c>
    </row>
    <row r="121" spans="1:5" ht="45" x14ac:dyDescent="0.25">
      <c r="A121" s="15" t="s">
        <v>135</v>
      </c>
      <c r="B121" s="15" t="s">
        <v>136</v>
      </c>
      <c r="C121" s="15" t="s">
        <v>137</v>
      </c>
      <c r="D121" s="15" t="s">
        <v>573</v>
      </c>
      <c r="E121" s="15" t="s">
        <v>284</v>
      </c>
    </row>
    <row r="122" spans="1:5" ht="45" x14ac:dyDescent="0.25">
      <c r="A122" s="15" t="s">
        <v>135</v>
      </c>
      <c r="B122" s="15" t="s">
        <v>136</v>
      </c>
      <c r="C122" s="15" t="s">
        <v>137</v>
      </c>
      <c r="D122" s="15" t="s">
        <v>572</v>
      </c>
      <c r="E122" s="15" t="s">
        <v>237</v>
      </c>
    </row>
    <row r="123" spans="1:5" ht="60" x14ac:dyDescent="0.25">
      <c r="A123" s="15" t="s">
        <v>135</v>
      </c>
      <c r="B123" s="15" t="s">
        <v>136</v>
      </c>
      <c r="C123" s="15" t="s">
        <v>137</v>
      </c>
      <c r="D123" s="15" t="s">
        <v>574</v>
      </c>
      <c r="E123" s="15" t="s">
        <v>523</v>
      </c>
    </row>
    <row r="124" spans="1:5" ht="45" x14ac:dyDescent="0.25">
      <c r="A124" s="15" t="s">
        <v>135</v>
      </c>
      <c r="B124" s="15" t="s">
        <v>136</v>
      </c>
      <c r="C124" s="15" t="s">
        <v>137</v>
      </c>
      <c r="D124" s="15" t="s">
        <v>575</v>
      </c>
      <c r="E124" s="15" t="s">
        <v>237</v>
      </c>
    </row>
    <row r="125" spans="1:5" ht="60" x14ac:dyDescent="0.25">
      <c r="A125" s="15" t="s">
        <v>135</v>
      </c>
      <c r="B125" s="15" t="s">
        <v>136</v>
      </c>
      <c r="C125" s="15" t="s">
        <v>137</v>
      </c>
      <c r="D125" s="15" t="s">
        <v>552</v>
      </c>
      <c r="E125" s="15" t="s">
        <v>553</v>
      </c>
    </row>
    <row r="126" spans="1:5" ht="60" x14ac:dyDescent="0.25">
      <c r="A126" s="15" t="s">
        <v>135</v>
      </c>
      <c r="B126" s="15" t="s">
        <v>136</v>
      </c>
      <c r="C126" s="15" t="s">
        <v>137</v>
      </c>
      <c r="D126" s="15" t="s">
        <v>554</v>
      </c>
      <c r="E126" s="15" t="s">
        <v>523</v>
      </c>
    </row>
    <row r="127" spans="1:5" ht="60" x14ac:dyDescent="0.25">
      <c r="A127" s="15" t="s">
        <v>135</v>
      </c>
      <c r="B127" s="15" t="s">
        <v>136</v>
      </c>
      <c r="C127" s="15" t="s">
        <v>137</v>
      </c>
      <c r="D127" s="15" t="s">
        <v>555</v>
      </c>
      <c r="E127" s="15" t="s">
        <v>240</v>
      </c>
    </row>
    <row r="128" spans="1:5" ht="60" x14ac:dyDescent="0.25">
      <c r="A128" s="15" t="s">
        <v>135</v>
      </c>
      <c r="B128" s="15" t="s">
        <v>136</v>
      </c>
      <c r="C128" s="15" t="s">
        <v>137</v>
      </c>
      <c r="D128" s="15" t="s">
        <v>556</v>
      </c>
      <c r="E128" s="15" t="s">
        <v>519</v>
      </c>
    </row>
    <row r="129" spans="1:5" ht="60" x14ac:dyDescent="0.25">
      <c r="A129" s="15" t="s">
        <v>135</v>
      </c>
      <c r="B129" s="15" t="s">
        <v>136</v>
      </c>
      <c r="C129" s="15" t="s">
        <v>137</v>
      </c>
      <c r="D129" s="15" t="s">
        <v>558</v>
      </c>
      <c r="E129" s="15" t="s">
        <v>577</v>
      </c>
    </row>
    <row r="130" spans="1:5" ht="45" x14ac:dyDescent="0.25">
      <c r="A130" s="15" t="s">
        <v>135</v>
      </c>
      <c r="B130" s="15" t="s">
        <v>136</v>
      </c>
      <c r="C130" s="15" t="s">
        <v>137</v>
      </c>
      <c r="D130" s="15" t="s">
        <v>559</v>
      </c>
      <c r="E130" s="15" t="s">
        <v>284</v>
      </c>
    </row>
    <row r="131" spans="1:5" ht="60" x14ac:dyDescent="0.25">
      <c r="A131" s="15" t="s">
        <v>135</v>
      </c>
      <c r="B131" s="15" t="s">
        <v>136</v>
      </c>
      <c r="C131" s="15" t="s">
        <v>137</v>
      </c>
      <c r="D131" s="15" t="s">
        <v>560</v>
      </c>
      <c r="E131" s="15" t="s">
        <v>528</v>
      </c>
    </row>
    <row r="132" spans="1:5" ht="45" x14ac:dyDescent="0.25">
      <c r="A132" s="15" t="s">
        <v>135</v>
      </c>
      <c r="B132" s="15" t="s">
        <v>136</v>
      </c>
      <c r="C132" s="15" t="s">
        <v>137</v>
      </c>
      <c r="D132" s="15" t="s">
        <v>561</v>
      </c>
      <c r="E132" s="15" t="s">
        <v>237</v>
      </c>
    </row>
    <row r="133" spans="1:5" ht="60" x14ac:dyDescent="0.25">
      <c r="A133" s="15" t="s">
        <v>135</v>
      </c>
      <c r="B133" s="15" t="s">
        <v>136</v>
      </c>
      <c r="C133" s="15" t="s">
        <v>137</v>
      </c>
      <c r="D133" s="15" t="s">
        <v>562</v>
      </c>
      <c r="E133" s="15" t="s">
        <v>577</v>
      </c>
    </row>
    <row r="134" spans="1:5" ht="60" x14ac:dyDescent="0.25">
      <c r="A134" s="15" t="s">
        <v>135</v>
      </c>
      <c r="B134" s="15" t="s">
        <v>136</v>
      </c>
      <c r="C134" s="15" t="s">
        <v>137</v>
      </c>
      <c r="D134" s="15" t="s">
        <v>563</v>
      </c>
      <c r="E134" s="15" t="s">
        <v>240</v>
      </c>
    </row>
    <row r="135" spans="1:5" ht="60" x14ac:dyDescent="0.25">
      <c r="A135" s="15" t="s">
        <v>135</v>
      </c>
      <c r="B135" s="15" t="s">
        <v>136</v>
      </c>
      <c r="C135" s="15" t="s">
        <v>137</v>
      </c>
      <c r="D135" s="15" t="s">
        <v>551</v>
      </c>
      <c r="E135" s="15" t="s">
        <v>523</v>
      </c>
    </row>
    <row r="136" spans="1:5" ht="60" x14ac:dyDescent="0.25">
      <c r="A136" s="15" t="s">
        <v>135</v>
      </c>
      <c r="B136" s="15" t="s">
        <v>136</v>
      </c>
      <c r="C136" s="15" t="s">
        <v>137</v>
      </c>
      <c r="D136" s="15" t="s">
        <v>550</v>
      </c>
      <c r="E136" s="15" t="s">
        <v>576</v>
      </c>
    </row>
    <row r="137" spans="1:5" ht="60" x14ac:dyDescent="0.25">
      <c r="A137" s="15" t="s">
        <v>135</v>
      </c>
      <c r="B137" s="15" t="s">
        <v>136</v>
      </c>
      <c r="C137" s="15" t="s">
        <v>137</v>
      </c>
      <c r="D137" s="15" t="s">
        <v>547</v>
      </c>
      <c r="E137" s="15" t="s">
        <v>577</v>
      </c>
    </row>
    <row r="138" spans="1:5" ht="45" x14ac:dyDescent="0.25">
      <c r="A138" s="15" t="s">
        <v>135</v>
      </c>
      <c r="B138" s="15" t="s">
        <v>136</v>
      </c>
      <c r="C138" s="15" t="s">
        <v>137</v>
      </c>
      <c r="D138" s="15" t="s">
        <v>567</v>
      </c>
      <c r="E138" s="15" t="s">
        <v>380</v>
      </c>
    </row>
    <row r="139" spans="1:5" ht="60" x14ac:dyDescent="0.25">
      <c r="A139" s="15" t="s">
        <v>135</v>
      </c>
      <c r="B139" s="15" t="s">
        <v>136</v>
      </c>
      <c r="C139" s="15" t="s">
        <v>137</v>
      </c>
      <c r="D139" s="15" t="s">
        <v>557</v>
      </c>
      <c r="E139" s="15" t="s">
        <v>521</v>
      </c>
    </row>
    <row r="140" spans="1:5" ht="60" x14ac:dyDescent="0.25">
      <c r="A140" s="15" t="s">
        <v>135</v>
      </c>
      <c r="B140" s="15" t="s">
        <v>136</v>
      </c>
      <c r="C140" s="15" t="s">
        <v>137</v>
      </c>
      <c r="D140" s="15" t="s">
        <v>578</v>
      </c>
      <c r="E140" s="15" t="s">
        <v>523</v>
      </c>
    </row>
    <row r="141" spans="1:5" ht="45" x14ac:dyDescent="0.25">
      <c r="A141" s="15" t="s">
        <v>135</v>
      </c>
      <c r="B141" s="15" t="s">
        <v>136</v>
      </c>
      <c r="C141" s="15" t="s">
        <v>137</v>
      </c>
      <c r="D141" s="15" t="s">
        <v>579</v>
      </c>
      <c r="E141" s="15" t="s">
        <v>271</v>
      </c>
    </row>
    <row r="142" spans="1:5" ht="60" x14ac:dyDescent="0.25">
      <c r="A142" s="15" t="s">
        <v>135</v>
      </c>
      <c r="B142" s="15" t="s">
        <v>136</v>
      </c>
      <c r="C142" s="15" t="s">
        <v>137</v>
      </c>
      <c r="D142" s="15" t="s">
        <v>580</v>
      </c>
      <c r="E142" s="15" t="s">
        <v>519</v>
      </c>
    </row>
    <row r="143" spans="1:5" ht="60" x14ac:dyDescent="0.25">
      <c r="A143" s="15" t="s">
        <v>135</v>
      </c>
      <c r="B143" s="15" t="s">
        <v>136</v>
      </c>
      <c r="C143" s="15" t="s">
        <v>137</v>
      </c>
      <c r="D143" s="15" t="s">
        <v>581</v>
      </c>
      <c r="E143" s="15" t="s">
        <v>523</v>
      </c>
    </row>
    <row r="144" spans="1:5" ht="60" x14ac:dyDescent="0.25">
      <c r="A144" s="15" t="s">
        <v>135</v>
      </c>
      <c r="B144" s="15" t="s">
        <v>136</v>
      </c>
      <c r="C144" s="15" t="s">
        <v>137</v>
      </c>
      <c r="D144" s="15" t="s">
        <v>582</v>
      </c>
      <c r="E144" s="15" t="s">
        <v>589</v>
      </c>
    </row>
    <row r="145" spans="1:5" ht="60" x14ac:dyDescent="0.25">
      <c r="A145" s="15" t="s">
        <v>135</v>
      </c>
      <c r="B145" s="15" t="s">
        <v>136</v>
      </c>
      <c r="C145" s="15" t="s">
        <v>137</v>
      </c>
      <c r="D145" s="15" t="s">
        <v>583</v>
      </c>
      <c r="E145" s="15" t="s">
        <v>519</v>
      </c>
    </row>
    <row r="146" spans="1:5" ht="60" x14ac:dyDescent="0.25">
      <c r="A146" s="15" t="s">
        <v>135</v>
      </c>
      <c r="B146" s="15" t="s">
        <v>136</v>
      </c>
      <c r="C146" s="15" t="s">
        <v>137</v>
      </c>
      <c r="D146" s="15" t="s">
        <v>584</v>
      </c>
      <c r="E146" s="15" t="s">
        <v>543</v>
      </c>
    </row>
    <row r="147" spans="1:5" ht="45" x14ac:dyDescent="0.25">
      <c r="A147" s="15" t="s">
        <v>135</v>
      </c>
      <c r="B147" s="15" t="s">
        <v>136</v>
      </c>
      <c r="C147" s="15" t="s">
        <v>137</v>
      </c>
      <c r="D147" s="15" t="s">
        <v>585</v>
      </c>
      <c r="E147" s="15" t="s">
        <v>284</v>
      </c>
    </row>
    <row r="148" spans="1:5" ht="45" x14ac:dyDescent="0.25">
      <c r="A148" s="15" t="s">
        <v>135</v>
      </c>
      <c r="B148" s="15" t="s">
        <v>136</v>
      </c>
      <c r="C148" s="15" t="s">
        <v>137</v>
      </c>
      <c r="D148" s="15" t="s">
        <v>586</v>
      </c>
      <c r="E148" s="15" t="s">
        <v>284</v>
      </c>
    </row>
    <row r="149" spans="1:5" ht="60" x14ac:dyDescent="0.25">
      <c r="A149" s="15" t="s">
        <v>135</v>
      </c>
      <c r="B149" s="15" t="s">
        <v>136</v>
      </c>
      <c r="C149" s="15" t="s">
        <v>137</v>
      </c>
      <c r="D149" s="15" t="s">
        <v>587</v>
      </c>
      <c r="E149" s="15" t="s">
        <v>590</v>
      </c>
    </row>
    <row r="150" spans="1:5" ht="60" x14ac:dyDescent="0.25">
      <c r="A150" s="15" t="s">
        <v>135</v>
      </c>
      <c r="B150" s="15" t="s">
        <v>136</v>
      </c>
      <c r="C150" s="15" t="s">
        <v>137</v>
      </c>
      <c r="D150" s="15" t="s">
        <v>545</v>
      </c>
      <c r="E150" s="15" t="s">
        <v>519</v>
      </c>
    </row>
    <row r="151" spans="1:5" ht="60" x14ac:dyDescent="0.25">
      <c r="A151" s="15" t="s">
        <v>135</v>
      </c>
      <c r="B151" s="15" t="s">
        <v>136</v>
      </c>
      <c r="C151" s="15" t="s">
        <v>137</v>
      </c>
      <c r="D151" s="15" t="s">
        <v>524</v>
      </c>
      <c r="E151" s="15" t="s">
        <v>577</v>
      </c>
    </row>
    <row r="152" spans="1:5" ht="45" x14ac:dyDescent="0.25">
      <c r="A152" s="15" t="s">
        <v>135</v>
      </c>
      <c r="B152" s="15" t="s">
        <v>136</v>
      </c>
      <c r="C152" s="15" t="s">
        <v>137</v>
      </c>
      <c r="D152" s="15" t="s">
        <v>536</v>
      </c>
      <c r="E152" s="15" t="s">
        <v>380</v>
      </c>
    </row>
    <row r="153" spans="1:5" ht="30" x14ac:dyDescent="0.25">
      <c r="A153" s="15" t="s">
        <v>150</v>
      </c>
      <c r="B153" s="15" t="s">
        <v>22</v>
      </c>
      <c r="C153" s="15" t="s">
        <v>151</v>
      </c>
      <c r="D153" s="15" t="s">
        <v>514</v>
      </c>
      <c r="E153" s="15" t="s">
        <v>360</v>
      </c>
    </row>
    <row r="154" spans="1:5" x14ac:dyDescent="0.25">
      <c r="A154" s="15" t="s">
        <v>150</v>
      </c>
      <c r="B154" s="15" t="s">
        <v>22</v>
      </c>
      <c r="C154" s="15" t="s">
        <v>151</v>
      </c>
      <c r="D154" s="15" t="s">
        <v>518</v>
      </c>
      <c r="E154" s="15" t="s">
        <v>121</v>
      </c>
    </row>
    <row r="155" spans="1:5" x14ac:dyDescent="0.25">
      <c r="A155" s="15" t="s">
        <v>254</v>
      </c>
      <c r="B155" s="15" t="s">
        <v>255</v>
      </c>
      <c r="C155" s="15" t="s">
        <v>244</v>
      </c>
      <c r="D155" s="15" t="s">
        <v>512</v>
      </c>
      <c r="E155" s="15" t="s">
        <v>246</v>
      </c>
    </row>
    <row r="156" spans="1:5" ht="30" x14ac:dyDescent="0.25">
      <c r="A156" s="15" t="s">
        <v>125</v>
      </c>
      <c r="B156" s="15" t="s">
        <v>124</v>
      </c>
      <c r="C156" s="15" t="s">
        <v>40</v>
      </c>
      <c r="D156" s="15" t="s">
        <v>512</v>
      </c>
      <c r="E156" s="15" t="s">
        <v>513</v>
      </c>
    </row>
    <row r="157" spans="1:5" ht="30" x14ac:dyDescent="0.25">
      <c r="A157" s="15" t="s">
        <v>39</v>
      </c>
      <c r="B157" s="15" t="s">
        <v>11</v>
      </c>
      <c r="C157" s="15" t="s">
        <v>40</v>
      </c>
      <c r="D157" s="15" t="s">
        <v>512</v>
      </c>
      <c r="E157" s="15" t="s">
        <v>513</v>
      </c>
    </row>
    <row r="158" spans="1:5" ht="30" x14ac:dyDescent="0.25">
      <c r="A158" s="15" t="s">
        <v>147</v>
      </c>
      <c r="B158" s="15" t="s">
        <v>145</v>
      </c>
      <c r="C158" s="15" t="s">
        <v>40</v>
      </c>
      <c r="D158" s="15" t="s">
        <v>146</v>
      </c>
      <c r="E158" s="15" t="s">
        <v>9</v>
      </c>
    </row>
  </sheetData>
  <sortState ref="A2:E158">
    <sortCondition ref="A2:A158"/>
  </sortState>
  <mergeCells count="7">
    <mergeCell ref="H8:I8"/>
    <mergeCell ref="K8:L8"/>
    <mergeCell ref="G13:G14"/>
    <mergeCell ref="G10:G11"/>
    <mergeCell ref="G1:G2"/>
    <mergeCell ref="G4:G5"/>
    <mergeCell ref="G7:G8"/>
  </mergeCells>
  <conditionalFormatting sqref="H5:M5">
    <cfRule type="cellIs" dxfId="86" priority="7" operator="greaterThan">
      <formula>0.2</formula>
    </cfRule>
    <cfRule type="cellIs" dxfId="85" priority="8" operator="greaterThan">
      <formula>0.1</formula>
    </cfRule>
    <cfRule type="cellIs" dxfId="84" priority="9" operator="greaterThan">
      <formula>0</formula>
    </cfRule>
  </conditionalFormatting>
  <conditionalFormatting sqref="H14:M14">
    <cfRule type="cellIs" dxfId="83" priority="4" operator="greaterThan">
      <formula>0.2</formula>
    </cfRule>
    <cfRule type="cellIs" dxfId="82" priority="5" operator="greaterThan">
      <formula>0.1</formula>
    </cfRule>
    <cfRule type="cellIs" dxfId="81" priority="6" operator="greaterThan">
      <formula>0</formula>
    </cfRule>
  </conditionalFormatting>
  <conditionalFormatting sqref="H11:M11">
    <cfRule type="cellIs" dxfId="80" priority="1" operator="greaterThan">
      <formula>0.2</formula>
    </cfRule>
    <cfRule type="cellIs" dxfId="79" priority="2" operator="greaterThan">
      <formula>0.1</formula>
    </cfRule>
    <cfRule type="cellIs" dxfId="78" priority="3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"/>
  <sheetViews>
    <sheetView zoomScale="70" zoomScaleNormal="70" workbookViewId="0">
      <selection activeCell="H29" sqref="H29"/>
    </sheetView>
  </sheetViews>
  <sheetFormatPr defaultRowHeight="15" x14ac:dyDescent="0.25"/>
  <cols>
    <col min="1" max="1" width="8.5703125" bestFit="1" customWidth="1"/>
    <col min="2" max="2" width="27.7109375" customWidth="1"/>
    <col min="3" max="3" width="30" customWidth="1"/>
    <col min="4" max="4" width="43" customWidth="1"/>
    <col min="5" max="5" width="42.42578125" customWidth="1"/>
    <col min="7" max="7" width="19.5703125" bestFit="1" customWidth="1"/>
  </cols>
  <sheetData>
    <row r="1" spans="1:16" x14ac:dyDescent="0.25">
      <c r="A1" s="17" t="s">
        <v>0</v>
      </c>
      <c r="B1" s="18" t="s">
        <v>1</v>
      </c>
      <c r="C1" s="18" t="s">
        <v>2</v>
      </c>
      <c r="D1" s="18" t="s">
        <v>3</v>
      </c>
      <c r="E1" s="6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97</v>
      </c>
      <c r="B2" t="s">
        <v>93</v>
      </c>
      <c r="C2" t="s">
        <v>98</v>
      </c>
      <c r="D2" t="s">
        <v>507</v>
      </c>
      <c r="E2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92</v>
      </c>
      <c r="B3" t="s">
        <v>93</v>
      </c>
      <c r="C3" t="s">
        <v>94</v>
      </c>
      <c r="D3" t="s">
        <v>507</v>
      </c>
      <c r="E3" t="s">
        <v>9</v>
      </c>
    </row>
    <row r="4" spans="1:16" x14ac:dyDescent="0.25">
      <c r="A4" t="s">
        <v>508</v>
      </c>
      <c r="B4" t="s">
        <v>509</v>
      </c>
      <c r="C4" t="s">
        <v>510</v>
      </c>
      <c r="D4" t="s">
        <v>507</v>
      </c>
      <c r="E4" t="s">
        <v>261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99</v>
      </c>
      <c r="B5" t="s">
        <v>509</v>
      </c>
      <c r="C5" t="s">
        <v>98</v>
      </c>
      <c r="D5" t="s">
        <v>507</v>
      </c>
      <c r="E5" t="s">
        <v>9</v>
      </c>
      <c r="G5" s="101"/>
      <c r="H5" s="7">
        <v>0.1923</v>
      </c>
      <c r="I5" s="7">
        <v>8.8249999999999995E-2</v>
      </c>
      <c r="J5" s="7">
        <v>0</v>
      </c>
      <c r="K5" s="7">
        <v>3.1824999999999999E-2</v>
      </c>
      <c r="L5" s="7">
        <v>0</v>
      </c>
      <c r="M5" s="8">
        <v>0</v>
      </c>
    </row>
    <row r="6" spans="1:16" x14ac:dyDescent="0.25">
      <c r="A6" t="s">
        <v>101</v>
      </c>
      <c r="B6" t="s">
        <v>102</v>
      </c>
      <c r="C6" t="s">
        <v>98</v>
      </c>
      <c r="D6" t="s">
        <v>507</v>
      </c>
      <c r="E6" t="s">
        <v>9</v>
      </c>
      <c r="G6" s="100" t="s">
        <v>68</v>
      </c>
      <c r="H6" s="9" t="s">
        <v>64</v>
      </c>
      <c r="I6" s="9"/>
      <c r="J6" s="9"/>
      <c r="K6" s="9" t="s">
        <v>65</v>
      </c>
      <c r="L6" s="9"/>
      <c r="M6" s="10"/>
    </row>
    <row r="7" spans="1:16" ht="15.75" thickBot="1" x14ac:dyDescent="0.3">
      <c r="G7" s="101"/>
      <c r="H7" s="102">
        <f>AVERAGE(H5:M5)</f>
        <v>5.2062499999999991E-2</v>
      </c>
      <c r="I7" s="102"/>
      <c r="J7" s="11"/>
      <c r="K7" s="103">
        <f>SUMPRODUCT(H2:M2,H5:M5)</f>
        <v>6.4296400000000004E-2</v>
      </c>
      <c r="L7" s="103"/>
      <c r="M7" s="12"/>
    </row>
    <row r="9" spans="1:16" x14ac:dyDescent="0.25">
      <c r="K9" s="51">
        <v>0.1923</v>
      </c>
      <c r="L9">
        <v>0</v>
      </c>
    </row>
    <row r="10" spans="1:16" x14ac:dyDescent="0.25">
      <c r="K10" s="51">
        <v>8.8249999999999995E-2</v>
      </c>
      <c r="L10">
        <v>9.9959999999999997E-3</v>
      </c>
    </row>
    <row r="11" spans="1:16" x14ac:dyDescent="0.25">
      <c r="K11" s="51">
        <v>0</v>
      </c>
      <c r="L11">
        <v>0</v>
      </c>
    </row>
    <row r="12" spans="1:16" x14ac:dyDescent="0.25">
      <c r="K12" s="51">
        <v>3.1824999999999999E-2</v>
      </c>
      <c r="L12">
        <v>0.28699999999999998</v>
      </c>
    </row>
    <row r="13" spans="1:16" x14ac:dyDescent="0.25">
      <c r="K13" s="51">
        <v>0</v>
      </c>
      <c r="L13">
        <v>6.0185185185185203E-2</v>
      </c>
    </row>
    <row r="14" spans="1:16" x14ac:dyDescent="0.25">
      <c r="K14" s="51">
        <v>0</v>
      </c>
      <c r="L14">
        <v>0</v>
      </c>
    </row>
    <row r="16" spans="1:16" x14ac:dyDescent="0.25">
      <c r="K16" s="51">
        <v>0.1923</v>
      </c>
      <c r="L16" s="51">
        <v>8.8249999999999995E-2</v>
      </c>
      <c r="M16" s="51">
        <v>0</v>
      </c>
      <c r="N16" s="51">
        <v>3.1824999999999999E-2</v>
      </c>
      <c r="O16" s="51">
        <v>0</v>
      </c>
      <c r="P16" s="51">
        <v>0</v>
      </c>
    </row>
  </sheetData>
  <mergeCells count="5">
    <mergeCell ref="G1:G2"/>
    <mergeCell ref="G4:G5"/>
    <mergeCell ref="G6:G7"/>
    <mergeCell ref="H7:I7"/>
    <mergeCell ref="K7:L7"/>
  </mergeCells>
  <conditionalFormatting sqref="H5:M5">
    <cfRule type="cellIs" dxfId="77" priority="1" operator="greaterThan">
      <formula>0.2</formula>
    </cfRule>
    <cfRule type="cellIs" dxfId="76" priority="2" operator="greaterThan">
      <formula>0.1</formula>
    </cfRule>
    <cfRule type="cellIs" dxfId="75" priority="3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8"/>
  <sheetViews>
    <sheetView topLeftCell="B1" zoomScale="70" zoomScaleNormal="70" workbookViewId="0">
      <selection activeCell="H1" sqref="H1:M1"/>
    </sheetView>
  </sheetViews>
  <sheetFormatPr defaultRowHeight="15" x14ac:dyDescent="0.25"/>
  <cols>
    <col min="1" max="1" width="9.5703125" style="62" bestFit="1" customWidth="1"/>
    <col min="2" max="2" width="35.85546875" style="62" bestFit="1" customWidth="1"/>
    <col min="3" max="3" width="38.85546875" style="62" customWidth="1"/>
    <col min="4" max="4" width="50.42578125" style="62" customWidth="1"/>
    <col min="5" max="5" width="40" style="62" customWidth="1"/>
    <col min="6" max="6" width="7.85546875" bestFit="1" customWidth="1"/>
    <col min="7" max="7" width="18.28515625" bestFit="1" customWidth="1"/>
    <col min="8" max="8" width="9.28515625" bestFit="1" customWidth="1"/>
    <col min="9" max="9" width="8.28515625" bestFit="1" customWidth="1"/>
    <col min="10" max="10" width="7.42578125" customWidth="1"/>
    <col min="11" max="11" width="7.42578125" bestFit="1" customWidth="1"/>
    <col min="12" max="12" width="7.42578125" customWidth="1"/>
    <col min="13" max="13" width="11.42578125" bestFit="1" customWidth="1"/>
  </cols>
  <sheetData>
    <row r="1" spans="1:19" x14ac:dyDescent="0.25">
      <c r="A1" s="62" t="s">
        <v>0</v>
      </c>
      <c r="B1" s="62" t="s">
        <v>1</v>
      </c>
      <c r="C1" s="62" t="s">
        <v>2</v>
      </c>
      <c r="D1" s="62" t="s">
        <v>350</v>
      </c>
      <c r="E1" s="62" t="s">
        <v>351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9" ht="15.75" thickBot="1" x14ac:dyDescent="0.3">
      <c r="A2" s="62" t="s">
        <v>5</v>
      </c>
      <c r="B2" s="62" t="s">
        <v>6</v>
      </c>
      <c r="C2" s="62" t="s">
        <v>7</v>
      </c>
      <c r="D2" s="62" t="s">
        <v>8</v>
      </c>
      <c r="E2" s="62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9" ht="30.75" thickBot="1" x14ac:dyDescent="0.3">
      <c r="A3" s="62" t="s">
        <v>10</v>
      </c>
      <c r="B3" s="62" t="s">
        <v>11</v>
      </c>
      <c r="C3" s="62" t="s">
        <v>12</v>
      </c>
      <c r="D3" s="62" t="s">
        <v>347</v>
      </c>
      <c r="E3" s="62" t="s">
        <v>9</v>
      </c>
      <c r="G3" s="28"/>
      <c r="H3" s="7">
        <v>9.6166666666666692E-3</v>
      </c>
      <c r="I3" s="7">
        <v>8.2354999999999998E-2</v>
      </c>
      <c r="J3" s="7">
        <v>0.28000000000000003</v>
      </c>
      <c r="K3" s="7">
        <v>0.10337499999999999</v>
      </c>
      <c r="L3" s="7">
        <v>0.234953703703704</v>
      </c>
      <c r="M3" s="8">
        <v>0.24759999999999999</v>
      </c>
      <c r="O3">
        <v>8.2354999999999998E-2</v>
      </c>
    </row>
    <row r="4" spans="1:19" x14ac:dyDescent="0.25">
      <c r="A4" s="62" t="s">
        <v>14</v>
      </c>
      <c r="B4" s="62" t="s">
        <v>15</v>
      </c>
      <c r="C4" s="62" t="s">
        <v>16</v>
      </c>
      <c r="D4" s="62" t="s">
        <v>344</v>
      </c>
      <c r="E4" s="62" t="s">
        <v>9</v>
      </c>
      <c r="G4" s="100" t="s">
        <v>68</v>
      </c>
      <c r="H4" s="9" t="s">
        <v>64</v>
      </c>
      <c r="I4" s="9"/>
      <c r="J4" s="9"/>
      <c r="K4" s="9" t="s">
        <v>65</v>
      </c>
      <c r="L4" s="9"/>
      <c r="M4" s="10"/>
      <c r="O4">
        <v>0.28000000000000003</v>
      </c>
    </row>
    <row r="5" spans="1:19" ht="15.75" thickBot="1" x14ac:dyDescent="0.3">
      <c r="A5" s="62" t="s">
        <v>48</v>
      </c>
      <c r="B5" s="62" t="s">
        <v>26</v>
      </c>
      <c r="C5" s="62" t="s">
        <v>49</v>
      </c>
      <c r="D5" s="62" t="s">
        <v>47</v>
      </c>
      <c r="E5" s="62" t="s">
        <v>9</v>
      </c>
      <c r="G5" s="101"/>
      <c r="H5" s="102">
        <f>AVERAGE(H3:M3)</f>
        <v>0.15965006172839513</v>
      </c>
      <c r="I5" s="102"/>
      <c r="J5" s="11"/>
      <c r="K5" s="103">
        <f>SUMPRODUCT(H2:M2,H3:M3)</f>
        <v>0.14540265777777781</v>
      </c>
      <c r="L5" s="103"/>
      <c r="M5" s="12"/>
      <c r="N5">
        <v>9.6166666666666692E-3</v>
      </c>
      <c r="O5">
        <v>8.2354999999999998E-2</v>
      </c>
      <c r="P5">
        <v>0.28000000000000003</v>
      </c>
      <c r="Q5">
        <v>0.10337499999999999</v>
      </c>
      <c r="R5">
        <v>0.234953703703704</v>
      </c>
      <c r="S5">
        <v>0.24759999999999999</v>
      </c>
    </row>
    <row r="6" spans="1:19" x14ac:dyDescent="0.25">
      <c r="A6" s="62" t="s">
        <v>50</v>
      </c>
      <c r="B6" s="62" t="s">
        <v>51</v>
      </c>
      <c r="C6" s="62" t="s">
        <v>49</v>
      </c>
      <c r="D6" s="62" t="s">
        <v>47</v>
      </c>
      <c r="E6" s="62" t="s">
        <v>9</v>
      </c>
    </row>
    <row r="7" spans="1:19" x14ac:dyDescent="0.25">
      <c r="A7" s="62" t="s">
        <v>52</v>
      </c>
      <c r="B7" s="62" t="s">
        <v>35</v>
      </c>
      <c r="C7" s="62" t="s">
        <v>49</v>
      </c>
      <c r="D7" s="62" t="s">
        <v>47</v>
      </c>
      <c r="E7" s="62" t="s">
        <v>9</v>
      </c>
    </row>
    <row r="8" spans="1:19" x14ac:dyDescent="0.25">
      <c r="A8" s="62" t="s">
        <v>53</v>
      </c>
      <c r="B8" s="62" t="s">
        <v>54</v>
      </c>
      <c r="C8" s="62" t="s">
        <v>49</v>
      </c>
      <c r="D8" s="62" t="s">
        <v>47</v>
      </c>
      <c r="E8" s="62" t="s">
        <v>9</v>
      </c>
    </row>
    <row r="9" spans="1:19" ht="30" x14ac:dyDescent="0.25">
      <c r="A9" s="62" t="s">
        <v>17</v>
      </c>
      <c r="B9" s="62" t="s">
        <v>18</v>
      </c>
      <c r="C9" s="62" t="s">
        <v>19</v>
      </c>
      <c r="D9" s="62" t="s">
        <v>8</v>
      </c>
      <c r="E9" s="62" t="s">
        <v>9</v>
      </c>
    </row>
    <row r="10" spans="1:19" ht="30" x14ac:dyDescent="0.25">
      <c r="A10" s="62" t="s">
        <v>20</v>
      </c>
      <c r="B10" s="62" t="s">
        <v>6</v>
      </c>
      <c r="C10" s="62" t="s">
        <v>19</v>
      </c>
      <c r="D10" s="62" t="s">
        <v>8</v>
      </c>
      <c r="E10" s="62" t="s">
        <v>9</v>
      </c>
    </row>
    <row r="11" spans="1:19" x14ac:dyDescent="0.25">
      <c r="A11" s="62" t="s">
        <v>21</v>
      </c>
      <c r="B11" s="62" t="s">
        <v>22</v>
      </c>
      <c r="C11" s="62" t="s">
        <v>23</v>
      </c>
      <c r="D11" s="63" t="s">
        <v>352</v>
      </c>
      <c r="E11" s="62" t="s">
        <v>24</v>
      </c>
    </row>
    <row r="12" spans="1:19" x14ac:dyDescent="0.25">
      <c r="A12" s="62" t="s">
        <v>25</v>
      </c>
      <c r="B12" s="62" t="s">
        <v>26</v>
      </c>
      <c r="C12" s="62" t="s">
        <v>23</v>
      </c>
      <c r="D12" s="62" t="s">
        <v>47</v>
      </c>
      <c r="E12" s="62" t="s">
        <v>9</v>
      </c>
    </row>
    <row r="13" spans="1:19" x14ac:dyDescent="0.25">
      <c r="A13" s="62" t="s">
        <v>27</v>
      </c>
      <c r="B13" s="62" t="s">
        <v>346</v>
      </c>
      <c r="C13" s="62" t="s">
        <v>23</v>
      </c>
      <c r="D13" s="62" t="s">
        <v>8</v>
      </c>
      <c r="E13" s="62" t="s">
        <v>9</v>
      </c>
    </row>
    <row r="14" spans="1:19" ht="30" x14ac:dyDescent="0.25">
      <c r="A14" s="62" t="s">
        <v>28</v>
      </c>
      <c r="B14" s="62" t="s">
        <v>345</v>
      </c>
      <c r="C14" s="62" t="s">
        <v>29</v>
      </c>
      <c r="D14" s="62" t="s">
        <v>47</v>
      </c>
      <c r="E14" s="62" t="s">
        <v>9</v>
      </c>
    </row>
    <row r="15" spans="1:19" x14ac:dyDescent="0.25">
      <c r="A15" s="62" t="s">
        <v>30</v>
      </c>
      <c r="B15" s="62" t="s">
        <v>346</v>
      </c>
      <c r="C15" s="62" t="s">
        <v>31</v>
      </c>
      <c r="D15" s="62" t="s">
        <v>8</v>
      </c>
      <c r="E15" s="62" t="s">
        <v>9</v>
      </c>
    </row>
    <row r="16" spans="1:19" x14ac:dyDescent="0.25">
      <c r="A16" s="62" t="s">
        <v>32</v>
      </c>
      <c r="B16" s="62" t="s">
        <v>22</v>
      </c>
      <c r="C16" s="62" t="s">
        <v>31</v>
      </c>
      <c r="D16" s="63" t="s">
        <v>352</v>
      </c>
      <c r="E16" s="62" t="s">
        <v>24</v>
      </c>
    </row>
    <row r="17" spans="1:5" x14ac:dyDescent="0.25">
      <c r="A17" s="62" t="s">
        <v>33</v>
      </c>
      <c r="B17" s="62" t="s">
        <v>26</v>
      </c>
      <c r="C17" s="62" t="s">
        <v>31</v>
      </c>
      <c r="D17" s="62" t="s">
        <v>47</v>
      </c>
      <c r="E17" s="62" t="s">
        <v>9</v>
      </c>
    </row>
    <row r="18" spans="1:5" x14ac:dyDescent="0.25">
      <c r="A18" s="62" t="s">
        <v>34</v>
      </c>
      <c r="B18" s="62" t="s">
        <v>35</v>
      </c>
      <c r="C18" s="62" t="s">
        <v>31</v>
      </c>
      <c r="D18" s="62" t="s">
        <v>349</v>
      </c>
      <c r="E18" s="62" t="s">
        <v>9</v>
      </c>
    </row>
    <row r="19" spans="1:5" x14ac:dyDescent="0.25">
      <c r="A19" s="62" t="s">
        <v>55</v>
      </c>
      <c r="B19" s="62" t="s">
        <v>51</v>
      </c>
      <c r="C19" s="62" t="s">
        <v>56</v>
      </c>
      <c r="D19" s="62" t="s">
        <v>47</v>
      </c>
      <c r="E19" s="62" t="s">
        <v>9</v>
      </c>
    </row>
    <row r="20" spans="1:5" x14ac:dyDescent="0.25">
      <c r="A20" s="62" t="s">
        <v>36</v>
      </c>
      <c r="B20" s="62" t="s">
        <v>37</v>
      </c>
      <c r="C20" s="62" t="s">
        <v>38</v>
      </c>
      <c r="D20" s="62" t="s">
        <v>47</v>
      </c>
      <c r="E20" s="62" t="s">
        <v>9</v>
      </c>
    </row>
    <row r="21" spans="1:5" x14ac:dyDescent="0.25">
      <c r="A21" s="62" t="s">
        <v>36</v>
      </c>
      <c r="B21" s="62" t="s">
        <v>37</v>
      </c>
      <c r="C21" s="62" t="s">
        <v>38</v>
      </c>
      <c r="D21" s="62" t="s">
        <v>8</v>
      </c>
      <c r="E21" s="62" t="s">
        <v>9</v>
      </c>
    </row>
    <row r="22" spans="1:5" x14ac:dyDescent="0.25">
      <c r="A22" s="62" t="s">
        <v>57</v>
      </c>
      <c r="B22" s="62" t="s">
        <v>51</v>
      </c>
      <c r="C22" s="62" t="s">
        <v>38</v>
      </c>
      <c r="D22" s="62" t="s">
        <v>47</v>
      </c>
      <c r="E22" s="62" t="s">
        <v>9</v>
      </c>
    </row>
    <row r="23" spans="1:5" x14ac:dyDescent="0.25">
      <c r="A23" s="62" t="s">
        <v>150</v>
      </c>
      <c r="B23" s="62" t="s">
        <v>22</v>
      </c>
      <c r="C23" s="62" t="s">
        <v>151</v>
      </c>
      <c r="D23" s="62" t="s">
        <v>348</v>
      </c>
      <c r="E23" s="62" t="s">
        <v>24</v>
      </c>
    </row>
    <row r="24" spans="1:5" ht="30" x14ac:dyDescent="0.25">
      <c r="A24" s="62" t="s">
        <v>254</v>
      </c>
      <c r="B24" s="62" t="s">
        <v>255</v>
      </c>
      <c r="C24" s="62" t="s">
        <v>244</v>
      </c>
      <c r="D24" s="62" t="s">
        <v>342</v>
      </c>
      <c r="E24" s="62" t="s">
        <v>343</v>
      </c>
    </row>
    <row r="25" spans="1:5" ht="30" x14ac:dyDescent="0.25">
      <c r="A25" s="62" t="s">
        <v>39</v>
      </c>
      <c r="B25" s="62" t="s">
        <v>11</v>
      </c>
      <c r="C25" s="62" t="s">
        <v>40</v>
      </c>
      <c r="D25" s="62" t="s">
        <v>347</v>
      </c>
      <c r="E25" s="62" t="s">
        <v>9</v>
      </c>
    </row>
    <row r="26" spans="1:5" x14ac:dyDescent="0.25">
      <c r="A26" s="62" t="s">
        <v>41</v>
      </c>
      <c r="B26" s="62" t="s">
        <v>42</v>
      </c>
      <c r="C26" s="62" t="s">
        <v>43</v>
      </c>
      <c r="D26" s="62" t="s">
        <v>8</v>
      </c>
      <c r="E26" s="62" t="s">
        <v>9</v>
      </c>
    </row>
    <row r="27" spans="1:5" x14ac:dyDescent="0.25">
      <c r="A27" s="62" t="s">
        <v>44</v>
      </c>
      <c r="B27" s="62" t="s">
        <v>35</v>
      </c>
      <c r="C27" s="62" t="s">
        <v>43</v>
      </c>
      <c r="D27" s="62" t="s">
        <v>8</v>
      </c>
      <c r="E27" s="62" t="s">
        <v>9</v>
      </c>
    </row>
    <row r="28" spans="1:5" x14ac:dyDescent="0.25">
      <c r="A28" s="62" t="s">
        <v>45</v>
      </c>
      <c r="B28" s="62" t="s">
        <v>6</v>
      </c>
      <c r="C28" s="62" t="s">
        <v>46</v>
      </c>
      <c r="D28" s="62" t="s">
        <v>8</v>
      </c>
      <c r="E28" s="62" t="s">
        <v>9</v>
      </c>
    </row>
  </sheetData>
  <sortState ref="A2:E195">
    <sortCondition ref="A2:A195"/>
  </sortState>
  <mergeCells count="4">
    <mergeCell ref="G1:G2"/>
    <mergeCell ref="G4:G5"/>
    <mergeCell ref="H5:I5"/>
    <mergeCell ref="K5:L5"/>
  </mergeCells>
  <conditionalFormatting sqref="H3:M3">
    <cfRule type="cellIs" dxfId="74" priority="1" operator="greaterThan">
      <formula>0.2</formula>
    </cfRule>
    <cfRule type="cellIs" dxfId="73" priority="2" operator="greaterThan">
      <formula>0.1</formula>
    </cfRule>
    <cfRule type="cellIs" dxfId="72" priority="3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52"/>
  <sheetViews>
    <sheetView zoomScale="55" zoomScaleNormal="55" workbookViewId="0">
      <selection activeCell="K17" sqref="K17"/>
    </sheetView>
  </sheetViews>
  <sheetFormatPr defaultRowHeight="15" x14ac:dyDescent="0.25"/>
  <cols>
    <col min="1" max="1" width="14.42578125" bestFit="1" customWidth="1"/>
    <col min="2" max="2" width="13.42578125" bestFit="1" customWidth="1"/>
    <col min="3" max="3" width="36.5703125" bestFit="1" customWidth="1"/>
    <col min="4" max="4" width="13.140625" bestFit="1" customWidth="1"/>
    <col min="5" max="5" width="52.85546875" style="15" bestFit="1" customWidth="1"/>
    <col min="6" max="6" width="12.28515625" style="15" customWidth="1"/>
    <col min="7" max="7" width="19.57031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s="15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7" ht="30.75" thickBot="1" x14ac:dyDescent="0.3">
      <c r="A2" t="s">
        <v>475</v>
      </c>
      <c r="B2" t="s">
        <v>219</v>
      </c>
      <c r="C2" t="s">
        <v>288</v>
      </c>
      <c r="D2" t="s">
        <v>221</v>
      </c>
      <c r="E2" s="16" t="s">
        <v>289</v>
      </c>
      <c r="F2" s="16"/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7" ht="15.75" thickBot="1" x14ac:dyDescent="0.3">
      <c r="A3" t="s">
        <v>218</v>
      </c>
      <c r="B3" t="s">
        <v>219</v>
      </c>
      <c r="C3" t="s">
        <v>220</v>
      </c>
      <c r="D3" t="s">
        <v>221</v>
      </c>
      <c r="E3" s="16" t="s">
        <v>9</v>
      </c>
      <c r="F3" s="16"/>
    </row>
    <row r="4" spans="1:17" ht="30" x14ac:dyDescent="0.25">
      <c r="A4" t="s">
        <v>474</v>
      </c>
      <c r="B4" t="s">
        <v>219</v>
      </c>
      <c r="C4" t="s">
        <v>288</v>
      </c>
      <c r="D4" t="s">
        <v>221</v>
      </c>
      <c r="E4" s="15" t="s">
        <v>289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7" ht="15.75" customHeight="1" thickBot="1" x14ac:dyDescent="0.3">
      <c r="A5" t="s">
        <v>446</v>
      </c>
      <c r="B5" t="s">
        <v>219</v>
      </c>
      <c r="C5" t="s">
        <v>19</v>
      </c>
      <c r="D5" t="s">
        <v>221</v>
      </c>
      <c r="E5" s="16" t="s">
        <v>480</v>
      </c>
      <c r="F5" s="16"/>
      <c r="G5" s="101"/>
      <c r="H5" s="7">
        <v>0</v>
      </c>
      <c r="I5" s="7">
        <v>0</v>
      </c>
      <c r="J5" s="7">
        <v>0.2</v>
      </c>
      <c r="K5" s="7">
        <v>0</v>
      </c>
      <c r="L5" s="7">
        <v>6.875E-3</v>
      </c>
      <c r="M5" s="8">
        <v>0</v>
      </c>
    </row>
    <row r="6" spans="1:17" ht="15.75" thickBot="1" x14ac:dyDescent="0.3">
      <c r="A6" t="s">
        <v>222</v>
      </c>
      <c r="B6" t="s">
        <v>223</v>
      </c>
      <c r="C6" t="s">
        <v>220</v>
      </c>
      <c r="D6" t="s">
        <v>224</v>
      </c>
      <c r="E6" s="16" t="s">
        <v>9</v>
      </c>
      <c r="F6" s="16"/>
    </row>
    <row r="7" spans="1:17" x14ac:dyDescent="0.25">
      <c r="A7" t="s">
        <v>591</v>
      </c>
      <c r="B7" t="s">
        <v>226</v>
      </c>
      <c r="C7" t="s">
        <v>19</v>
      </c>
      <c r="D7" t="s">
        <v>224</v>
      </c>
      <c r="E7" s="16" t="s">
        <v>165</v>
      </c>
      <c r="F7" s="16"/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7" ht="15.75" thickBot="1" x14ac:dyDescent="0.3">
      <c r="A8" t="s">
        <v>225</v>
      </c>
      <c r="B8" t="s">
        <v>226</v>
      </c>
      <c r="C8" t="s">
        <v>220</v>
      </c>
      <c r="D8" t="s">
        <v>224</v>
      </c>
      <c r="E8" s="16" t="s">
        <v>9</v>
      </c>
      <c r="F8" s="16"/>
      <c r="G8" s="101"/>
      <c r="H8" s="102">
        <f>AVERAGE(H5:M5)</f>
        <v>3.4479166666666665E-2</v>
      </c>
      <c r="I8" s="102"/>
      <c r="J8" s="11"/>
      <c r="K8" s="102">
        <f>SUMPRODUCT(H2:M2,H5:M5)</f>
        <v>4.1963125000000004E-2</v>
      </c>
      <c r="L8" s="102"/>
      <c r="M8" s="12"/>
    </row>
    <row r="10" spans="1:17" x14ac:dyDescent="0.25">
      <c r="E10" s="16"/>
      <c r="F10" s="16"/>
    </row>
    <row r="11" spans="1:17" x14ac:dyDescent="0.25">
      <c r="L11">
        <v>0</v>
      </c>
      <c r="M11">
        <v>0</v>
      </c>
      <c r="N11">
        <v>0.2</v>
      </c>
      <c r="O11">
        <v>0</v>
      </c>
      <c r="P11">
        <v>6.875E-3</v>
      </c>
      <c r="Q11">
        <v>0</v>
      </c>
    </row>
    <row r="12" spans="1:17" x14ac:dyDescent="0.25">
      <c r="K12">
        <v>0</v>
      </c>
    </row>
    <row r="13" spans="1:17" x14ac:dyDescent="0.25">
      <c r="B13" s="14"/>
      <c r="K13">
        <v>0</v>
      </c>
    </row>
    <row r="14" spans="1:17" x14ac:dyDescent="0.25">
      <c r="K14">
        <v>0.2</v>
      </c>
    </row>
    <row r="15" spans="1:17" x14ac:dyDescent="0.25">
      <c r="K15">
        <v>0</v>
      </c>
    </row>
    <row r="16" spans="1:17" x14ac:dyDescent="0.25">
      <c r="K16">
        <v>6.875E-3</v>
      </c>
    </row>
    <row r="17" spans="5:11" x14ac:dyDescent="0.25">
      <c r="K17">
        <v>0</v>
      </c>
    </row>
    <row r="20" spans="5:11" x14ac:dyDescent="0.25">
      <c r="E20" s="16"/>
      <c r="F20" s="16"/>
    </row>
    <row r="22" spans="5:11" x14ac:dyDescent="0.25">
      <c r="E22" s="16"/>
      <c r="F22" s="16"/>
    </row>
    <row r="33" spans="5:6" x14ac:dyDescent="0.25">
      <c r="E33" s="16"/>
      <c r="F33" s="16"/>
    </row>
    <row r="35" spans="5:6" x14ac:dyDescent="0.25">
      <c r="E35" s="16"/>
      <c r="F35" s="16"/>
    </row>
    <row r="37" spans="5:6" x14ac:dyDescent="0.25">
      <c r="E37" s="16"/>
      <c r="F37" s="16"/>
    </row>
    <row r="38" spans="5:6" x14ac:dyDescent="0.25">
      <c r="E38" s="16"/>
      <c r="F38" s="16"/>
    </row>
    <row r="42" spans="5:6" x14ac:dyDescent="0.25">
      <c r="E42" s="16"/>
      <c r="F42" s="16"/>
    </row>
    <row r="43" spans="5:6" x14ac:dyDescent="0.25">
      <c r="E43" s="16"/>
      <c r="F43" s="16"/>
    </row>
    <row r="45" spans="5:6" x14ac:dyDescent="0.25">
      <c r="E45" s="16"/>
      <c r="F45" s="16"/>
    </row>
    <row r="52" spans="5:6" x14ac:dyDescent="0.25">
      <c r="E52" s="16"/>
      <c r="F52" s="16"/>
    </row>
  </sheetData>
  <mergeCells count="5">
    <mergeCell ref="G1:G2"/>
    <mergeCell ref="G4:G5"/>
    <mergeCell ref="G7:G8"/>
    <mergeCell ref="H8:I8"/>
    <mergeCell ref="K8:L8"/>
  </mergeCells>
  <conditionalFormatting sqref="H5:M5">
    <cfRule type="cellIs" dxfId="71" priority="1" operator="greaterThan">
      <formula>0.2</formula>
    </cfRule>
    <cfRule type="cellIs" dxfId="70" priority="2" operator="greaterThan">
      <formula>0.1</formula>
    </cfRule>
    <cfRule type="cellIs" dxfId="69" priority="3" operator="greaterThan">
      <formula>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6"/>
  <sheetViews>
    <sheetView zoomScale="55" zoomScaleNormal="55" workbookViewId="0">
      <selection activeCell="G16" sqref="G16"/>
    </sheetView>
  </sheetViews>
  <sheetFormatPr defaultColWidth="35" defaultRowHeight="15" x14ac:dyDescent="0.25"/>
  <cols>
    <col min="4" max="4" width="49" bestFit="1" customWidth="1"/>
    <col min="5" max="5" width="35" style="15"/>
    <col min="6" max="6" width="12.140625" customWidth="1"/>
    <col min="7" max="7" width="19.42578125" bestFit="1" customWidth="1"/>
    <col min="8" max="8" width="11.7109375" customWidth="1"/>
    <col min="9" max="9" width="8.7109375" bestFit="1" customWidth="1"/>
    <col min="10" max="10" width="8.140625" customWidth="1"/>
    <col min="11" max="11" width="8.7109375" customWidth="1"/>
    <col min="12" max="12" width="9.28515625" customWidth="1"/>
    <col min="13" max="13" width="12.140625" bestFit="1" customWidth="1"/>
  </cols>
  <sheetData>
    <row r="1" spans="1:16" x14ac:dyDescent="0.25">
      <c r="A1" s="17" t="s">
        <v>0</v>
      </c>
      <c r="B1" s="18" t="s">
        <v>1</v>
      </c>
      <c r="C1" s="18" t="s">
        <v>2</v>
      </c>
      <c r="D1" s="18" t="s">
        <v>3</v>
      </c>
      <c r="E1" s="19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s="23" t="s">
        <v>14</v>
      </c>
      <c r="B2" s="24" t="s">
        <v>15</v>
      </c>
      <c r="C2" s="24" t="s">
        <v>16</v>
      </c>
      <c r="D2" s="24" t="s">
        <v>230</v>
      </c>
      <c r="E2" s="26" t="s">
        <v>13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s="23" t="s">
        <v>14</v>
      </c>
      <c r="B3" s="24" t="s">
        <v>15</v>
      </c>
      <c r="C3" s="24" t="s">
        <v>16</v>
      </c>
      <c r="D3" s="24" t="s">
        <v>247</v>
      </c>
      <c r="E3" s="26" t="s">
        <v>13</v>
      </c>
    </row>
    <row r="4" spans="1:16" ht="60" x14ac:dyDescent="0.25">
      <c r="A4" s="23" t="s">
        <v>14</v>
      </c>
      <c r="B4" s="24" t="s">
        <v>15</v>
      </c>
      <c r="C4" s="24" t="s">
        <v>16</v>
      </c>
      <c r="D4" s="24" t="s">
        <v>238</v>
      </c>
      <c r="E4" s="26" t="s">
        <v>592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30.75" thickBot="1" x14ac:dyDescent="0.3">
      <c r="A5" s="23" t="s">
        <v>14</v>
      </c>
      <c r="B5" s="24" t="s">
        <v>15</v>
      </c>
      <c r="C5" s="24" t="s">
        <v>16</v>
      </c>
      <c r="D5" s="24" t="s">
        <v>239</v>
      </c>
      <c r="E5" s="26" t="s">
        <v>148</v>
      </c>
      <c r="G5" s="101"/>
      <c r="H5" s="7">
        <v>0</v>
      </c>
      <c r="I5" s="7">
        <v>5.5282999999999999E-2</v>
      </c>
      <c r="J5" s="7">
        <v>3.168E-2</v>
      </c>
      <c r="K5" s="7">
        <v>0.38440000000000002</v>
      </c>
      <c r="L5" s="7">
        <v>0</v>
      </c>
      <c r="M5" s="8">
        <v>0.34763333333333302</v>
      </c>
    </row>
    <row r="6" spans="1:16" ht="45.75" thickBot="1" x14ac:dyDescent="0.3">
      <c r="A6" s="23" t="s">
        <v>14</v>
      </c>
      <c r="B6" s="24" t="s">
        <v>15</v>
      </c>
      <c r="C6" s="24" t="s">
        <v>16</v>
      </c>
      <c r="D6" s="24" t="s">
        <v>234</v>
      </c>
      <c r="E6" s="26" t="s">
        <v>213</v>
      </c>
    </row>
    <row r="7" spans="1:16" ht="75" x14ac:dyDescent="0.25">
      <c r="A7" s="20" t="s">
        <v>14</v>
      </c>
      <c r="B7" s="21" t="s">
        <v>15</v>
      </c>
      <c r="C7" s="21" t="s">
        <v>16</v>
      </c>
      <c r="D7" s="21" t="s">
        <v>236</v>
      </c>
      <c r="E7" s="91" t="s">
        <v>593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15.75" thickBot="1" x14ac:dyDescent="0.3">
      <c r="A8" s="23" t="s">
        <v>228</v>
      </c>
      <c r="B8" s="24" t="s">
        <v>229</v>
      </c>
      <c r="C8" s="24" t="s">
        <v>76</v>
      </c>
      <c r="D8" s="24" t="s">
        <v>230</v>
      </c>
      <c r="E8" s="26" t="s">
        <v>9</v>
      </c>
      <c r="G8" s="101"/>
      <c r="H8" s="102">
        <f>AVERAGE(H5:M5)</f>
        <v>0.13649938888888882</v>
      </c>
      <c r="I8" s="102"/>
      <c r="J8" s="11"/>
      <c r="K8" s="102">
        <f>SUMPRODUCT(H2:M2,H5:M5)</f>
        <v>0.11507754466666663</v>
      </c>
      <c r="L8" s="102"/>
      <c r="M8" s="12"/>
    </row>
    <row r="9" spans="1:16" x14ac:dyDescent="0.25">
      <c r="A9" s="23" t="s">
        <v>228</v>
      </c>
      <c r="B9" s="24" t="s">
        <v>229</v>
      </c>
      <c r="C9" s="24" t="s">
        <v>76</v>
      </c>
      <c r="D9" s="24" t="s">
        <v>594</v>
      </c>
      <c r="E9" s="26" t="s">
        <v>9</v>
      </c>
    </row>
    <row r="10" spans="1:16" x14ac:dyDescent="0.25">
      <c r="A10" s="23" t="s">
        <v>228</v>
      </c>
      <c r="B10" s="24" t="s">
        <v>229</v>
      </c>
      <c r="C10" s="24" t="s">
        <v>76</v>
      </c>
      <c r="D10" s="24" t="s">
        <v>595</v>
      </c>
      <c r="E10" s="26" t="s">
        <v>9</v>
      </c>
    </row>
    <row r="11" spans="1:16" x14ac:dyDescent="0.25">
      <c r="A11" t="s">
        <v>149</v>
      </c>
      <c r="B11" t="s">
        <v>15</v>
      </c>
      <c r="C11" t="s">
        <v>112</v>
      </c>
      <c r="D11" t="s">
        <v>239</v>
      </c>
      <c r="E11" s="15" t="s">
        <v>241</v>
      </c>
      <c r="J11">
        <v>0</v>
      </c>
      <c r="K11">
        <v>0</v>
      </c>
      <c r="L11">
        <v>5.5282999999999999E-2</v>
      </c>
      <c r="M11">
        <v>3.168E-2</v>
      </c>
      <c r="N11">
        <v>0.38440000000000002</v>
      </c>
      <c r="O11">
        <v>0</v>
      </c>
      <c r="P11">
        <v>0.34763333333333302</v>
      </c>
    </row>
    <row r="12" spans="1:16" x14ac:dyDescent="0.25">
      <c r="A12" s="22" t="s">
        <v>156</v>
      </c>
      <c r="B12" s="22" t="s">
        <v>155</v>
      </c>
      <c r="C12" s="22" t="s">
        <v>56</v>
      </c>
      <c r="D12" s="22" t="s">
        <v>230</v>
      </c>
      <c r="E12" s="25" t="s">
        <v>9</v>
      </c>
      <c r="J12">
        <v>5.5282999999999999E-2</v>
      </c>
    </row>
    <row r="13" spans="1:16" x14ac:dyDescent="0.25">
      <c r="A13" s="22" t="s">
        <v>154</v>
      </c>
      <c r="B13" s="22" t="s">
        <v>155</v>
      </c>
      <c r="C13" s="22" t="s">
        <v>38</v>
      </c>
      <c r="D13" s="22" t="s">
        <v>230</v>
      </c>
      <c r="E13" s="25" t="s">
        <v>9</v>
      </c>
      <c r="J13">
        <v>3.168E-2</v>
      </c>
    </row>
    <row r="14" spans="1:16" ht="90" x14ac:dyDescent="0.25">
      <c r="A14" t="s">
        <v>135</v>
      </c>
      <c r="B14" t="s">
        <v>136</v>
      </c>
      <c r="C14" t="s">
        <v>137</v>
      </c>
      <c r="D14" t="s">
        <v>236</v>
      </c>
      <c r="E14" s="15" t="s">
        <v>380</v>
      </c>
      <c r="J14">
        <v>0.38440000000000002</v>
      </c>
    </row>
    <row r="15" spans="1:16" ht="45" x14ac:dyDescent="0.25">
      <c r="A15" t="s">
        <v>135</v>
      </c>
      <c r="B15" t="s">
        <v>136</v>
      </c>
      <c r="C15" t="s">
        <v>137</v>
      </c>
      <c r="D15" t="s">
        <v>234</v>
      </c>
      <c r="E15" s="15" t="s">
        <v>235</v>
      </c>
      <c r="J15">
        <v>0</v>
      </c>
    </row>
    <row r="16" spans="1:16" ht="90" x14ac:dyDescent="0.25">
      <c r="A16" t="s">
        <v>135</v>
      </c>
      <c r="B16" t="s">
        <v>136</v>
      </c>
      <c r="C16" t="s">
        <v>137</v>
      </c>
      <c r="D16" t="s">
        <v>238</v>
      </c>
      <c r="E16" s="15" t="s">
        <v>380</v>
      </c>
      <c r="J16">
        <v>0.34763333333333302</v>
      </c>
    </row>
    <row r="17" spans="1:5" ht="105" x14ac:dyDescent="0.25">
      <c r="A17" t="s">
        <v>135</v>
      </c>
      <c r="B17" t="s">
        <v>136</v>
      </c>
      <c r="C17" t="s">
        <v>137</v>
      </c>
      <c r="D17" t="s">
        <v>239</v>
      </c>
      <c r="E17" s="15" t="s">
        <v>528</v>
      </c>
    </row>
    <row r="18" spans="1:5" x14ac:dyDescent="0.25">
      <c r="A18" t="s">
        <v>86</v>
      </c>
      <c r="B18" t="s">
        <v>85</v>
      </c>
      <c r="C18" t="s">
        <v>73</v>
      </c>
      <c r="D18" t="s">
        <v>234</v>
      </c>
      <c r="E18" s="15" t="s">
        <v>9</v>
      </c>
    </row>
    <row r="19" spans="1:5" x14ac:dyDescent="0.25">
      <c r="A19" t="s">
        <v>86</v>
      </c>
      <c r="B19" t="s">
        <v>85</v>
      </c>
      <c r="C19" t="s">
        <v>73</v>
      </c>
      <c r="D19" t="s">
        <v>236</v>
      </c>
      <c r="E19" s="15" t="s">
        <v>9</v>
      </c>
    </row>
    <row r="20" spans="1:5" x14ac:dyDescent="0.25">
      <c r="A20" t="s">
        <v>86</v>
      </c>
      <c r="B20" t="s">
        <v>85</v>
      </c>
      <c r="C20" t="s">
        <v>73</v>
      </c>
      <c r="D20" t="s">
        <v>238</v>
      </c>
      <c r="E20" s="15" t="s">
        <v>9</v>
      </c>
    </row>
    <row r="21" spans="1:5" x14ac:dyDescent="0.25">
      <c r="A21" t="s">
        <v>86</v>
      </c>
      <c r="B21" t="s">
        <v>85</v>
      </c>
      <c r="C21" t="s">
        <v>73</v>
      </c>
      <c r="D21" t="s">
        <v>239</v>
      </c>
      <c r="E21" s="15" t="s">
        <v>9</v>
      </c>
    </row>
    <row r="22" spans="1:5" x14ac:dyDescent="0.25">
      <c r="A22" s="31" t="s">
        <v>90</v>
      </c>
      <c r="B22" s="31" t="s">
        <v>88</v>
      </c>
      <c r="C22" s="31" t="s">
        <v>91</v>
      </c>
      <c r="D22" s="31" t="s">
        <v>227</v>
      </c>
      <c r="E22" s="90" t="s">
        <v>9</v>
      </c>
    </row>
    <row r="23" spans="1:5" x14ac:dyDescent="0.25">
      <c r="A23" t="s">
        <v>90</v>
      </c>
      <c r="B23" t="s">
        <v>88</v>
      </c>
      <c r="C23" t="s">
        <v>91</v>
      </c>
      <c r="D23" t="s">
        <v>230</v>
      </c>
      <c r="E23" s="15" t="s">
        <v>9</v>
      </c>
    </row>
    <row r="24" spans="1:5" x14ac:dyDescent="0.25">
      <c r="A24" t="s">
        <v>90</v>
      </c>
      <c r="B24" t="s">
        <v>88</v>
      </c>
      <c r="C24" t="s">
        <v>91</v>
      </c>
      <c r="D24" t="s">
        <v>594</v>
      </c>
      <c r="E24" s="15" t="s">
        <v>9</v>
      </c>
    </row>
    <row r="25" spans="1:5" x14ac:dyDescent="0.25">
      <c r="A25" t="s">
        <v>90</v>
      </c>
      <c r="B25" t="s">
        <v>88</v>
      </c>
      <c r="C25" t="s">
        <v>91</v>
      </c>
      <c r="D25" t="s">
        <v>595</v>
      </c>
      <c r="E25" s="15" t="s">
        <v>9</v>
      </c>
    </row>
    <row r="26" spans="1:5" x14ac:dyDescent="0.25">
      <c r="A26" t="s">
        <v>232</v>
      </c>
      <c r="B26" t="s">
        <v>233</v>
      </c>
      <c r="C26" t="s">
        <v>89</v>
      </c>
      <c r="D26" t="s">
        <v>230</v>
      </c>
      <c r="E26" s="15" t="s">
        <v>9</v>
      </c>
    </row>
    <row r="27" spans="1:5" x14ac:dyDescent="0.25">
      <c r="A27" t="s">
        <v>231</v>
      </c>
      <c r="B27" t="s">
        <v>229</v>
      </c>
      <c r="C27" t="s">
        <v>89</v>
      </c>
      <c r="D27" t="s">
        <v>230</v>
      </c>
      <c r="E27" s="15" t="s">
        <v>9</v>
      </c>
    </row>
    <row r="28" spans="1:5" x14ac:dyDescent="0.25">
      <c r="A28" t="s">
        <v>231</v>
      </c>
      <c r="B28" t="s">
        <v>229</v>
      </c>
      <c r="C28" t="s">
        <v>89</v>
      </c>
      <c r="D28" t="s">
        <v>594</v>
      </c>
      <c r="E28" s="15" t="s">
        <v>9</v>
      </c>
    </row>
    <row r="29" spans="1:5" x14ac:dyDescent="0.25">
      <c r="A29" s="31" t="s">
        <v>87</v>
      </c>
      <c r="B29" s="31" t="s">
        <v>88</v>
      </c>
      <c r="C29" s="31" t="s">
        <v>89</v>
      </c>
      <c r="D29" s="31" t="s">
        <v>227</v>
      </c>
      <c r="E29" s="90" t="s">
        <v>9</v>
      </c>
    </row>
    <row r="30" spans="1:5" x14ac:dyDescent="0.25">
      <c r="A30" t="s">
        <v>87</v>
      </c>
      <c r="B30" t="s">
        <v>88</v>
      </c>
      <c r="C30" t="s">
        <v>89</v>
      </c>
      <c r="D30" t="s">
        <v>230</v>
      </c>
      <c r="E30" s="15" t="s">
        <v>9</v>
      </c>
    </row>
    <row r="31" spans="1:5" x14ac:dyDescent="0.25">
      <c r="A31" t="s">
        <v>87</v>
      </c>
      <c r="B31" t="s">
        <v>88</v>
      </c>
      <c r="C31" t="s">
        <v>89</v>
      </c>
      <c r="D31" t="s">
        <v>594</v>
      </c>
      <c r="E31" s="15" t="s">
        <v>9</v>
      </c>
    </row>
    <row r="32" spans="1:5" x14ac:dyDescent="0.25">
      <c r="A32" t="s">
        <v>87</v>
      </c>
      <c r="B32" t="s">
        <v>88</v>
      </c>
      <c r="C32" t="s">
        <v>89</v>
      </c>
      <c r="D32" t="s">
        <v>595</v>
      </c>
      <c r="E32" s="15" t="s">
        <v>9</v>
      </c>
    </row>
    <row r="33" spans="1:5" ht="30" x14ac:dyDescent="0.25">
      <c r="A33" t="s">
        <v>242</v>
      </c>
      <c r="B33" t="s">
        <v>243</v>
      </c>
      <c r="C33" t="s">
        <v>244</v>
      </c>
      <c r="D33" t="s">
        <v>247</v>
      </c>
      <c r="E33" s="15" t="s">
        <v>248</v>
      </c>
    </row>
    <row r="34" spans="1:5" ht="60" x14ac:dyDescent="0.25">
      <c r="A34" s="22" t="s">
        <v>242</v>
      </c>
      <c r="B34" s="22" t="s">
        <v>243</v>
      </c>
      <c r="C34" s="22" t="s">
        <v>244</v>
      </c>
      <c r="D34" s="22" t="s">
        <v>238</v>
      </c>
      <c r="E34" s="25" t="s">
        <v>249</v>
      </c>
    </row>
    <row r="35" spans="1:5" ht="30" x14ac:dyDescent="0.25">
      <c r="A35" t="s">
        <v>242</v>
      </c>
      <c r="B35" t="s">
        <v>243</v>
      </c>
      <c r="C35" t="s">
        <v>244</v>
      </c>
      <c r="D35" t="s">
        <v>239</v>
      </c>
      <c r="E35" s="15" t="s">
        <v>121</v>
      </c>
    </row>
    <row r="36" spans="1:5" ht="30" x14ac:dyDescent="0.25">
      <c r="A36" s="22" t="s">
        <v>242</v>
      </c>
      <c r="B36" s="22" t="s">
        <v>243</v>
      </c>
      <c r="C36" s="22" t="s">
        <v>244</v>
      </c>
      <c r="D36" s="22" t="s">
        <v>234</v>
      </c>
      <c r="E36" s="27" t="s">
        <v>246</v>
      </c>
    </row>
    <row r="37" spans="1:5" ht="60" x14ac:dyDescent="0.25">
      <c r="A37" t="s">
        <v>242</v>
      </c>
      <c r="B37" t="s">
        <v>243</v>
      </c>
      <c r="C37" t="s">
        <v>244</v>
      </c>
      <c r="D37" t="s">
        <v>236</v>
      </c>
      <c r="E37" s="15" t="s">
        <v>249</v>
      </c>
    </row>
    <row r="38" spans="1:5" ht="30" x14ac:dyDescent="0.25">
      <c r="A38" s="22" t="s">
        <v>250</v>
      </c>
      <c r="B38" s="22" t="s">
        <v>251</v>
      </c>
      <c r="C38" s="22" t="s">
        <v>244</v>
      </c>
      <c r="D38" s="22" t="s">
        <v>247</v>
      </c>
      <c r="E38" s="25" t="s">
        <v>248</v>
      </c>
    </row>
    <row r="39" spans="1:5" ht="60" x14ac:dyDescent="0.25">
      <c r="A39" t="s">
        <v>250</v>
      </c>
      <c r="B39" t="s">
        <v>251</v>
      </c>
      <c r="C39" t="s">
        <v>244</v>
      </c>
      <c r="D39" t="s">
        <v>238</v>
      </c>
      <c r="E39" s="15" t="s">
        <v>245</v>
      </c>
    </row>
    <row r="40" spans="1:5" ht="30" x14ac:dyDescent="0.25">
      <c r="A40" t="s">
        <v>250</v>
      </c>
      <c r="B40" t="s">
        <v>251</v>
      </c>
      <c r="C40" t="s">
        <v>244</v>
      </c>
      <c r="D40" t="s">
        <v>239</v>
      </c>
      <c r="E40" s="15" t="s">
        <v>121</v>
      </c>
    </row>
    <row r="41" spans="1:5" ht="30" x14ac:dyDescent="0.25">
      <c r="A41" s="22" t="s">
        <v>250</v>
      </c>
      <c r="B41" s="22" t="s">
        <v>251</v>
      </c>
      <c r="C41" s="22" t="s">
        <v>244</v>
      </c>
      <c r="D41" s="22" t="s">
        <v>234</v>
      </c>
      <c r="E41" s="25" t="s">
        <v>246</v>
      </c>
    </row>
    <row r="42" spans="1:5" ht="60" x14ac:dyDescent="0.25">
      <c r="A42" t="s">
        <v>250</v>
      </c>
      <c r="B42" t="s">
        <v>251</v>
      </c>
      <c r="C42" t="s">
        <v>244</v>
      </c>
      <c r="D42" t="s">
        <v>236</v>
      </c>
      <c r="E42" s="15" t="s">
        <v>249</v>
      </c>
    </row>
    <row r="43" spans="1:5" ht="60" x14ac:dyDescent="0.25">
      <c r="A43" s="31" t="s">
        <v>252</v>
      </c>
      <c r="B43" s="31" t="s">
        <v>253</v>
      </c>
      <c r="C43" s="31" t="s">
        <v>244</v>
      </c>
      <c r="D43" s="31" t="s">
        <v>236</v>
      </c>
      <c r="E43" s="90" t="s">
        <v>249</v>
      </c>
    </row>
    <row r="44" spans="1:5" ht="30" x14ac:dyDescent="0.25">
      <c r="A44" s="31" t="s">
        <v>252</v>
      </c>
      <c r="B44" s="31" t="s">
        <v>253</v>
      </c>
      <c r="C44" s="31" t="s">
        <v>244</v>
      </c>
      <c r="D44" s="31" t="s">
        <v>234</v>
      </c>
      <c r="E44" s="90" t="s">
        <v>246</v>
      </c>
    </row>
    <row r="45" spans="1:5" ht="30" x14ac:dyDescent="0.25">
      <c r="A45" t="s">
        <v>252</v>
      </c>
      <c r="B45" t="s">
        <v>253</v>
      </c>
      <c r="C45" t="s">
        <v>244</v>
      </c>
      <c r="D45" t="s">
        <v>247</v>
      </c>
      <c r="E45" s="15" t="s">
        <v>248</v>
      </c>
    </row>
    <row r="46" spans="1:5" ht="60" x14ac:dyDescent="0.25">
      <c r="A46" t="s">
        <v>252</v>
      </c>
      <c r="B46" t="s">
        <v>253</v>
      </c>
      <c r="C46" t="s">
        <v>244</v>
      </c>
      <c r="D46" t="s">
        <v>238</v>
      </c>
      <c r="E46" s="15" t="s">
        <v>249</v>
      </c>
    </row>
    <row r="47" spans="1:5" ht="30" x14ac:dyDescent="0.25">
      <c r="A47" s="22" t="s">
        <v>252</v>
      </c>
      <c r="B47" s="22" t="s">
        <v>253</v>
      </c>
      <c r="C47" s="22" t="s">
        <v>244</v>
      </c>
      <c r="D47" s="22" t="s">
        <v>239</v>
      </c>
      <c r="E47" s="25" t="s">
        <v>121</v>
      </c>
    </row>
    <row r="48" spans="1:5" ht="60" x14ac:dyDescent="0.25">
      <c r="A48" s="89" t="s">
        <v>254</v>
      </c>
      <c r="B48" s="89" t="s">
        <v>255</v>
      </c>
      <c r="C48" s="89" t="s">
        <v>244</v>
      </c>
      <c r="D48" s="89" t="s">
        <v>236</v>
      </c>
      <c r="E48" s="92" t="s">
        <v>245</v>
      </c>
    </row>
    <row r="49" spans="1:5" ht="30" x14ac:dyDescent="0.25">
      <c r="A49" s="31" t="s">
        <v>254</v>
      </c>
      <c r="B49" s="31" t="s">
        <v>255</v>
      </c>
      <c r="C49" s="31" t="s">
        <v>244</v>
      </c>
      <c r="D49" s="31" t="s">
        <v>234</v>
      </c>
      <c r="E49" s="90" t="s">
        <v>246</v>
      </c>
    </row>
    <row r="50" spans="1:5" ht="30" x14ac:dyDescent="0.25">
      <c r="A50" s="31" t="s">
        <v>254</v>
      </c>
      <c r="B50" s="31" t="s">
        <v>255</v>
      </c>
      <c r="C50" s="31" t="s">
        <v>244</v>
      </c>
      <c r="D50" s="31" t="s">
        <v>247</v>
      </c>
      <c r="E50" s="90" t="s">
        <v>248</v>
      </c>
    </row>
    <row r="51" spans="1:5" ht="30" x14ac:dyDescent="0.25">
      <c r="A51" s="31" t="s">
        <v>254</v>
      </c>
      <c r="B51" s="31" t="s">
        <v>255</v>
      </c>
      <c r="C51" s="31" t="s">
        <v>244</v>
      </c>
      <c r="D51" s="31" t="s">
        <v>239</v>
      </c>
      <c r="E51" s="90" t="s">
        <v>121</v>
      </c>
    </row>
    <row r="52" spans="1:5" ht="60" x14ac:dyDescent="0.25">
      <c r="A52" s="31" t="s">
        <v>254</v>
      </c>
      <c r="B52" s="31" t="s">
        <v>255</v>
      </c>
      <c r="C52" s="31" t="s">
        <v>244</v>
      </c>
      <c r="D52" s="31" t="s">
        <v>238</v>
      </c>
      <c r="E52" s="90" t="s">
        <v>245</v>
      </c>
    </row>
    <row r="53" spans="1:5" x14ac:dyDescent="0.25">
      <c r="A53" t="s">
        <v>84</v>
      </c>
      <c r="B53" t="s">
        <v>85</v>
      </c>
      <c r="C53" t="s">
        <v>79</v>
      </c>
      <c r="D53" t="s">
        <v>234</v>
      </c>
      <c r="E53" s="15" t="s">
        <v>9</v>
      </c>
    </row>
    <row r="54" spans="1:5" x14ac:dyDescent="0.25">
      <c r="A54" t="s">
        <v>84</v>
      </c>
      <c r="B54" t="s">
        <v>85</v>
      </c>
      <c r="C54" t="s">
        <v>79</v>
      </c>
      <c r="D54" t="s">
        <v>236</v>
      </c>
      <c r="E54" s="15" t="s">
        <v>9</v>
      </c>
    </row>
    <row r="55" spans="1:5" x14ac:dyDescent="0.25">
      <c r="A55" t="s">
        <v>84</v>
      </c>
      <c r="B55" t="s">
        <v>85</v>
      </c>
      <c r="C55" t="s">
        <v>79</v>
      </c>
      <c r="D55" t="s">
        <v>238</v>
      </c>
      <c r="E55" s="15" t="s">
        <v>9</v>
      </c>
    </row>
    <row r="56" spans="1:5" x14ac:dyDescent="0.25">
      <c r="A56" t="s">
        <v>84</v>
      </c>
      <c r="B56" t="s">
        <v>85</v>
      </c>
      <c r="C56" t="s">
        <v>79</v>
      </c>
      <c r="D56" t="s">
        <v>239</v>
      </c>
      <c r="E56" s="15" t="s">
        <v>9</v>
      </c>
    </row>
  </sheetData>
  <sortState ref="A2:E56">
    <sortCondition ref="A2:A56"/>
  </sortState>
  <mergeCells count="5">
    <mergeCell ref="G1:G2"/>
    <mergeCell ref="G4:G5"/>
    <mergeCell ref="G7:G8"/>
    <mergeCell ref="H8:I8"/>
    <mergeCell ref="K8:L8"/>
  </mergeCells>
  <conditionalFormatting sqref="H5:M5">
    <cfRule type="cellIs" dxfId="67" priority="1" operator="greaterThan">
      <formula>0.2</formula>
    </cfRule>
    <cfRule type="cellIs" dxfId="66" priority="2" operator="greaterThan">
      <formula>0.1</formula>
    </cfRule>
    <cfRule type="cellIs" dxfId="65" priority="3" operator="greater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562"/>
  <sheetViews>
    <sheetView zoomScale="70" zoomScaleNormal="70" workbookViewId="0">
      <selection sqref="A1:XFD1048576"/>
    </sheetView>
  </sheetViews>
  <sheetFormatPr defaultColWidth="35" defaultRowHeight="15" x14ac:dyDescent="0.25"/>
  <cols>
    <col min="1" max="1" width="9.28515625" style="86" bestFit="1" customWidth="1"/>
    <col min="2" max="2" width="38.85546875" style="86" customWidth="1"/>
    <col min="3" max="3" width="21.85546875" style="86" customWidth="1"/>
    <col min="4" max="4" width="26.5703125" style="86" customWidth="1"/>
    <col min="5" max="5" width="38.42578125" style="86" customWidth="1"/>
    <col min="6" max="6" width="11.85546875" customWidth="1"/>
    <col min="7" max="7" width="19.42578125" bestFit="1" customWidth="1"/>
    <col min="8" max="8" width="20.85546875" bestFit="1" customWidth="1"/>
    <col min="9" max="9" width="8.7109375" bestFit="1" customWidth="1"/>
    <col min="10" max="10" width="8.140625" bestFit="1" customWidth="1"/>
    <col min="11" max="11" width="18.85546875" bestFit="1" customWidth="1"/>
    <col min="12" max="12" width="8.140625" bestFit="1" customWidth="1"/>
    <col min="13" max="13" width="12.140625" bestFit="1" customWidth="1"/>
  </cols>
  <sheetData>
    <row r="1" spans="1:16" x14ac:dyDescent="0.25">
      <c r="A1" s="83" t="s">
        <v>0</v>
      </c>
      <c r="B1" s="84" t="s">
        <v>1</v>
      </c>
      <c r="C1" s="84" t="s">
        <v>2</v>
      </c>
      <c r="D1" s="84" t="s">
        <v>3</v>
      </c>
      <c r="E1" s="85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39.75" thickBot="1" x14ac:dyDescent="0.3">
      <c r="A2" s="86" t="s">
        <v>260</v>
      </c>
      <c r="B2" s="86" t="s">
        <v>369</v>
      </c>
      <c r="C2" s="86" t="s">
        <v>257</v>
      </c>
      <c r="D2" s="86" t="s">
        <v>300</v>
      </c>
      <c r="E2" s="86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39.75" thickBot="1" x14ac:dyDescent="0.3">
      <c r="A3" s="86" t="s">
        <v>260</v>
      </c>
      <c r="B3" s="86" t="s">
        <v>369</v>
      </c>
      <c r="C3" s="86" t="s">
        <v>257</v>
      </c>
      <c r="D3" s="86" t="s">
        <v>306</v>
      </c>
      <c r="E3" s="86" t="s">
        <v>9</v>
      </c>
    </row>
    <row r="4" spans="1:16" ht="39" x14ac:dyDescent="0.25">
      <c r="A4" s="86" t="s">
        <v>260</v>
      </c>
      <c r="B4" s="86" t="s">
        <v>369</v>
      </c>
      <c r="C4" s="86" t="s">
        <v>257</v>
      </c>
      <c r="D4" s="86" t="s">
        <v>299</v>
      </c>
      <c r="E4" s="86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39.75" thickBot="1" x14ac:dyDescent="0.3">
      <c r="A5" s="86" t="s">
        <v>260</v>
      </c>
      <c r="B5" s="86" t="s">
        <v>369</v>
      </c>
      <c r="C5" s="86" t="s">
        <v>257</v>
      </c>
      <c r="D5" s="86" t="s">
        <v>304</v>
      </c>
      <c r="E5" s="86" t="s">
        <v>9</v>
      </c>
      <c r="G5" s="101"/>
      <c r="H5" s="7">
        <v>0.13671111111111101</v>
      </c>
      <c r="I5" s="7">
        <v>0</v>
      </c>
      <c r="J5" s="7">
        <v>0.12</v>
      </c>
      <c r="K5" s="7">
        <v>3.5999999999999997E-2</v>
      </c>
      <c r="L5" s="7">
        <v>0.27395833333333303</v>
      </c>
      <c r="M5" s="8">
        <v>0</v>
      </c>
    </row>
    <row r="6" spans="1:16" ht="27" thickBot="1" x14ac:dyDescent="0.3">
      <c r="A6" s="86" t="s">
        <v>259</v>
      </c>
      <c r="B6" s="86" t="s">
        <v>372</v>
      </c>
      <c r="C6" s="86" t="s">
        <v>257</v>
      </c>
      <c r="D6" s="86" t="s">
        <v>299</v>
      </c>
      <c r="E6" s="86" t="s">
        <v>9</v>
      </c>
    </row>
    <row r="7" spans="1:16" ht="26.25" x14ac:dyDescent="0.25">
      <c r="A7" s="86" t="s">
        <v>259</v>
      </c>
      <c r="B7" s="86" t="s">
        <v>372</v>
      </c>
      <c r="C7" s="86" t="s">
        <v>257</v>
      </c>
      <c r="D7" s="86" t="s">
        <v>304</v>
      </c>
      <c r="E7" s="86" t="s">
        <v>9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27" thickBot="1" x14ac:dyDescent="0.3">
      <c r="A8" s="86" t="s">
        <v>259</v>
      </c>
      <c r="B8" s="86" t="s">
        <v>372</v>
      </c>
      <c r="C8" s="86" t="s">
        <v>257</v>
      </c>
      <c r="D8" s="86" t="s">
        <v>300</v>
      </c>
      <c r="E8" s="86" t="s">
        <v>9</v>
      </c>
      <c r="G8" s="101"/>
      <c r="H8" s="102">
        <f>AVERAGE(H5:M5)</f>
        <v>9.4444907407407339E-2</v>
      </c>
      <c r="I8" s="102"/>
      <c r="J8" s="11"/>
      <c r="K8" s="102">
        <f>SUMPRODUCT(H2:M2,H5:M5)</f>
        <v>9.0001552777777716E-2</v>
      </c>
      <c r="L8" s="102"/>
      <c r="M8" s="12"/>
    </row>
    <row r="9" spans="1:16" ht="26.25" x14ac:dyDescent="0.25">
      <c r="A9" s="86" t="s">
        <v>259</v>
      </c>
      <c r="B9" s="86" t="s">
        <v>372</v>
      </c>
      <c r="C9" s="86" t="s">
        <v>257</v>
      </c>
      <c r="D9" s="86" t="s">
        <v>306</v>
      </c>
      <c r="E9" s="86" t="s">
        <v>9</v>
      </c>
    </row>
    <row r="10" spans="1:16" ht="26.25" x14ac:dyDescent="0.25">
      <c r="A10" s="86" t="s">
        <v>256</v>
      </c>
      <c r="B10" s="86" t="s">
        <v>370</v>
      </c>
      <c r="C10" s="86" t="s">
        <v>257</v>
      </c>
      <c r="D10" s="86" t="s">
        <v>300</v>
      </c>
      <c r="E10" s="86" t="s">
        <v>9</v>
      </c>
    </row>
    <row r="11" spans="1:16" ht="26.25" x14ac:dyDescent="0.25">
      <c r="A11" s="86" t="s">
        <v>256</v>
      </c>
      <c r="B11" s="86" t="s">
        <v>370</v>
      </c>
      <c r="C11" s="86" t="s">
        <v>257</v>
      </c>
      <c r="D11" s="86" t="s">
        <v>306</v>
      </c>
      <c r="E11" s="86" t="s">
        <v>9</v>
      </c>
      <c r="J11">
        <v>0.13671111111111101</v>
      </c>
      <c r="K11">
        <v>0.13671111111111101</v>
      </c>
      <c r="L11">
        <v>0</v>
      </c>
      <c r="M11">
        <v>0.12</v>
      </c>
      <c r="N11">
        <v>3.5999999999999997E-2</v>
      </c>
      <c r="O11">
        <v>0.27395833333333303</v>
      </c>
      <c r="P11">
        <v>0</v>
      </c>
    </row>
    <row r="12" spans="1:16" ht="26.25" x14ac:dyDescent="0.25">
      <c r="A12" s="86" t="s">
        <v>256</v>
      </c>
      <c r="B12" s="86" t="s">
        <v>370</v>
      </c>
      <c r="C12" s="86" t="s">
        <v>257</v>
      </c>
      <c r="D12" s="86" t="s">
        <v>299</v>
      </c>
      <c r="E12" s="86" t="s">
        <v>9</v>
      </c>
      <c r="J12">
        <v>0</v>
      </c>
    </row>
    <row r="13" spans="1:16" ht="26.25" x14ac:dyDescent="0.25">
      <c r="A13" s="86" t="s">
        <v>256</v>
      </c>
      <c r="B13" s="86" t="s">
        <v>370</v>
      </c>
      <c r="C13" s="86" t="s">
        <v>257</v>
      </c>
      <c r="D13" s="86" t="s">
        <v>304</v>
      </c>
      <c r="E13" s="86" t="s">
        <v>9</v>
      </c>
      <c r="J13">
        <v>0.12</v>
      </c>
    </row>
    <row r="14" spans="1:16" ht="39" x14ac:dyDescent="0.25">
      <c r="A14" s="86" t="s">
        <v>273</v>
      </c>
      <c r="B14" s="86" t="s">
        <v>274</v>
      </c>
      <c r="C14" s="86" t="s">
        <v>120</v>
      </c>
      <c r="D14" s="86" t="s">
        <v>258</v>
      </c>
      <c r="E14" s="86" t="s">
        <v>278</v>
      </c>
      <c r="J14">
        <v>3.5999999999999997E-2</v>
      </c>
    </row>
    <row r="15" spans="1:16" ht="39" x14ac:dyDescent="0.25">
      <c r="A15" s="86" t="s">
        <v>273</v>
      </c>
      <c r="B15" s="86" t="s">
        <v>274</v>
      </c>
      <c r="C15" s="86" t="s">
        <v>120</v>
      </c>
      <c r="D15" s="86" t="s">
        <v>279</v>
      </c>
      <c r="E15" s="86" t="s">
        <v>263</v>
      </c>
      <c r="J15">
        <v>0.27395833333333303</v>
      </c>
    </row>
    <row r="16" spans="1:16" ht="39" x14ac:dyDescent="0.25">
      <c r="A16" s="86" t="s">
        <v>273</v>
      </c>
      <c r="B16" s="86" t="s">
        <v>274</v>
      </c>
      <c r="C16" s="86" t="s">
        <v>120</v>
      </c>
      <c r="D16" s="86" t="s">
        <v>381</v>
      </c>
      <c r="E16" s="86" t="s">
        <v>278</v>
      </c>
      <c r="J16">
        <v>0</v>
      </c>
    </row>
    <row r="17" spans="1:5" ht="39" x14ac:dyDescent="0.25">
      <c r="A17" s="86" t="s">
        <v>273</v>
      </c>
      <c r="B17" s="86" t="s">
        <v>274</v>
      </c>
      <c r="C17" s="86" t="s">
        <v>120</v>
      </c>
      <c r="D17" s="86" t="s">
        <v>382</v>
      </c>
      <c r="E17" s="86" t="s">
        <v>263</v>
      </c>
    </row>
    <row r="18" spans="1:5" ht="51.75" x14ac:dyDescent="0.25">
      <c r="A18" s="86" t="s">
        <v>273</v>
      </c>
      <c r="B18" s="86" t="s">
        <v>274</v>
      </c>
      <c r="C18" s="86" t="s">
        <v>120</v>
      </c>
      <c r="D18" s="86" t="s">
        <v>383</v>
      </c>
      <c r="E18" s="86" t="s">
        <v>278</v>
      </c>
    </row>
    <row r="19" spans="1:5" ht="51.75" x14ac:dyDescent="0.25">
      <c r="A19" s="86" t="s">
        <v>273</v>
      </c>
      <c r="B19" s="86" t="s">
        <v>274</v>
      </c>
      <c r="C19" s="86" t="s">
        <v>120</v>
      </c>
      <c r="D19" s="86" t="s">
        <v>384</v>
      </c>
      <c r="E19" s="86" t="s">
        <v>278</v>
      </c>
    </row>
    <row r="20" spans="1:5" ht="26.25" x14ac:dyDescent="0.25">
      <c r="A20" s="86" t="s">
        <v>273</v>
      </c>
      <c r="B20" s="86" t="s">
        <v>274</v>
      </c>
      <c r="C20" s="86" t="s">
        <v>120</v>
      </c>
      <c r="D20" s="86" t="s">
        <v>280</v>
      </c>
      <c r="E20" s="86" t="s">
        <v>281</v>
      </c>
    </row>
    <row r="21" spans="1:5" ht="39" x14ac:dyDescent="0.25">
      <c r="A21" s="86" t="s">
        <v>273</v>
      </c>
      <c r="B21" s="86" t="s">
        <v>274</v>
      </c>
      <c r="C21" s="86" t="s">
        <v>120</v>
      </c>
      <c r="D21" s="86" t="s">
        <v>385</v>
      </c>
      <c r="E21" s="86" t="s">
        <v>281</v>
      </c>
    </row>
    <row r="22" spans="1:5" ht="51.75" x14ac:dyDescent="0.25">
      <c r="A22" s="86" t="s">
        <v>273</v>
      </c>
      <c r="B22" s="86" t="s">
        <v>274</v>
      </c>
      <c r="C22" s="86" t="s">
        <v>120</v>
      </c>
      <c r="D22" s="86" t="s">
        <v>386</v>
      </c>
      <c r="E22" s="86" t="s">
        <v>281</v>
      </c>
    </row>
    <row r="23" spans="1:5" ht="51.75" x14ac:dyDescent="0.25">
      <c r="A23" s="86" t="s">
        <v>273</v>
      </c>
      <c r="B23" s="86" t="s">
        <v>274</v>
      </c>
      <c r="C23" s="86" t="s">
        <v>120</v>
      </c>
      <c r="D23" s="86" t="s">
        <v>387</v>
      </c>
      <c r="E23" s="86" t="s">
        <v>281</v>
      </c>
    </row>
    <row r="24" spans="1:5" ht="51.75" x14ac:dyDescent="0.25">
      <c r="A24" s="86" t="s">
        <v>273</v>
      </c>
      <c r="B24" s="86" t="s">
        <v>274</v>
      </c>
      <c r="C24" s="86" t="s">
        <v>120</v>
      </c>
      <c r="D24" s="86" t="s">
        <v>388</v>
      </c>
      <c r="E24" s="86" t="s">
        <v>281</v>
      </c>
    </row>
    <row r="25" spans="1:5" ht="39" x14ac:dyDescent="0.25">
      <c r="A25" s="86" t="s">
        <v>273</v>
      </c>
      <c r="B25" s="86" t="s">
        <v>274</v>
      </c>
      <c r="C25" s="86" t="s">
        <v>120</v>
      </c>
      <c r="D25" s="86" t="s">
        <v>276</v>
      </c>
      <c r="E25" s="86" t="s">
        <v>278</v>
      </c>
    </row>
    <row r="26" spans="1:5" ht="39" x14ac:dyDescent="0.25">
      <c r="A26" s="86" t="s">
        <v>273</v>
      </c>
      <c r="B26" s="86" t="s">
        <v>274</v>
      </c>
      <c r="C26" s="86" t="s">
        <v>120</v>
      </c>
      <c r="D26" s="86" t="s">
        <v>389</v>
      </c>
      <c r="E26" s="86" t="s">
        <v>263</v>
      </c>
    </row>
    <row r="27" spans="1:5" ht="51.75" x14ac:dyDescent="0.25">
      <c r="A27" s="86" t="s">
        <v>273</v>
      </c>
      <c r="B27" s="86" t="s">
        <v>274</v>
      </c>
      <c r="C27" s="86" t="s">
        <v>120</v>
      </c>
      <c r="D27" s="86" t="s">
        <v>390</v>
      </c>
      <c r="E27" s="86" t="s">
        <v>278</v>
      </c>
    </row>
    <row r="28" spans="1:5" ht="51.75" x14ac:dyDescent="0.25">
      <c r="A28" s="86" t="s">
        <v>273</v>
      </c>
      <c r="B28" s="86" t="s">
        <v>274</v>
      </c>
      <c r="C28" s="86" t="s">
        <v>120</v>
      </c>
      <c r="D28" s="86" t="s">
        <v>391</v>
      </c>
      <c r="E28" s="86" t="s">
        <v>278</v>
      </c>
    </row>
    <row r="29" spans="1:5" ht="51.75" x14ac:dyDescent="0.25">
      <c r="A29" s="86" t="s">
        <v>273</v>
      </c>
      <c r="B29" s="86" t="s">
        <v>274</v>
      </c>
      <c r="C29" s="86" t="s">
        <v>120</v>
      </c>
      <c r="D29" s="86" t="s">
        <v>392</v>
      </c>
      <c r="E29" s="86" t="s">
        <v>263</v>
      </c>
    </row>
    <row r="30" spans="1:5" ht="39" x14ac:dyDescent="0.25">
      <c r="A30" s="86" t="s">
        <v>273</v>
      </c>
      <c r="B30" s="86" t="s">
        <v>274</v>
      </c>
      <c r="C30" s="86" t="s">
        <v>120</v>
      </c>
      <c r="D30" s="86" t="s">
        <v>393</v>
      </c>
      <c r="E30" s="86" t="s">
        <v>278</v>
      </c>
    </row>
    <row r="31" spans="1:5" ht="51.75" x14ac:dyDescent="0.25">
      <c r="A31" s="86" t="s">
        <v>273</v>
      </c>
      <c r="B31" s="86" t="s">
        <v>274</v>
      </c>
      <c r="C31" s="86" t="s">
        <v>120</v>
      </c>
      <c r="D31" s="86" t="s">
        <v>394</v>
      </c>
      <c r="E31" s="86" t="s">
        <v>275</v>
      </c>
    </row>
    <row r="32" spans="1:5" ht="51.75" x14ac:dyDescent="0.25">
      <c r="A32" s="86" t="s">
        <v>273</v>
      </c>
      <c r="B32" s="86" t="s">
        <v>274</v>
      </c>
      <c r="C32" s="86" t="s">
        <v>120</v>
      </c>
      <c r="D32" s="86" t="s">
        <v>266</v>
      </c>
      <c r="E32" s="86" t="s">
        <v>268</v>
      </c>
    </row>
    <row r="33" spans="1:5" ht="39" x14ac:dyDescent="0.25">
      <c r="A33" s="86" t="s">
        <v>273</v>
      </c>
      <c r="B33" s="86" t="s">
        <v>274</v>
      </c>
      <c r="C33" s="86" t="s">
        <v>120</v>
      </c>
      <c r="D33" s="86" t="s">
        <v>277</v>
      </c>
      <c r="E33" s="86" t="s">
        <v>278</v>
      </c>
    </row>
    <row r="34" spans="1:5" ht="39" x14ac:dyDescent="0.25">
      <c r="A34" s="86" t="s">
        <v>273</v>
      </c>
      <c r="B34" s="86" t="s">
        <v>274</v>
      </c>
      <c r="C34" s="86" t="s">
        <v>120</v>
      </c>
      <c r="D34" s="86" t="s">
        <v>395</v>
      </c>
      <c r="E34" s="86" t="s">
        <v>263</v>
      </c>
    </row>
    <row r="35" spans="1:5" ht="39" x14ac:dyDescent="0.25">
      <c r="A35" s="86" t="s">
        <v>273</v>
      </c>
      <c r="B35" s="86" t="s">
        <v>274</v>
      </c>
      <c r="C35" s="86" t="s">
        <v>120</v>
      </c>
      <c r="D35" s="86" t="s">
        <v>396</v>
      </c>
      <c r="E35" s="86" t="s">
        <v>278</v>
      </c>
    </row>
    <row r="36" spans="1:5" ht="39" x14ac:dyDescent="0.25">
      <c r="A36" s="86" t="s">
        <v>273</v>
      </c>
      <c r="B36" s="86" t="s">
        <v>274</v>
      </c>
      <c r="C36" s="86" t="s">
        <v>120</v>
      </c>
      <c r="D36" s="86" t="s">
        <v>397</v>
      </c>
      <c r="E36" s="86" t="s">
        <v>278</v>
      </c>
    </row>
    <row r="37" spans="1:5" ht="39" x14ac:dyDescent="0.25">
      <c r="A37" s="86" t="s">
        <v>273</v>
      </c>
      <c r="B37" s="86" t="s">
        <v>274</v>
      </c>
      <c r="C37" s="86" t="s">
        <v>120</v>
      </c>
      <c r="D37" s="86" t="s">
        <v>398</v>
      </c>
      <c r="E37" s="86" t="s">
        <v>263</v>
      </c>
    </row>
    <row r="38" spans="1:5" ht="51.75" x14ac:dyDescent="0.25">
      <c r="A38" s="86" t="s">
        <v>273</v>
      </c>
      <c r="B38" s="86" t="s">
        <v>274</v>
      </c>
      <c r="C38" s="86" t="s">
        <v>120</v>
      </c>
      <c r="D38" s="86" t="s">
        <v>272</v>
      </c>
      <c r="E38" s="86" t="s">
        <v>282</v>
      </c>
    </row>
    <row r="39" spans="1:5" ht="71.25" customHeight="1" x14ac:dyDescent="0.25">
      <c r="A39" s="86" t="s">
        <v>273</v>
      </c>
      <c r="B39" s="86" t="s">
        <v>274</v>
      </c>
      <c r="C39" s="86" t="s">
        <v>120</v>
      </c>
      <c r="D39" s="86" t="s">
        <v>403</v>
      </c>
      <c r="E39" s="86" t="s">
        <v>282</v>
      </c>
    </row>
    <row r="40" spans="1:5" ht="51.75" x14ac:dyDescent="0.25">
      <c r="A40" s="86" t="s">
        <v>273</v>
      </c>
      <c r="B40" s="86" t="s">
        <v>274</v>
      </c>
      <c r="C40" s="86" t="s">
        <v>120</v>
      </c>
      <c r="D40" s="86" t="s">
        <v>404</v>
      </c>
      <c r="E40" s="86" t="s">
        <v>286</v>
      </c>
    </row>
    <row r="41" spans="1:5" ht="51.75" x14ac:dyDescent="0.25">
      <c r="A41" s="86" t="s">
        <v>273</v>
      </c>
      <c r="B41" s="86" t="s">
        <v>274</v>
      </c>
      <c r="C41" s="86" t="s">
        <v>120</v>
      </c>
      <c r="D41" s="86" t="s">
        <v>405</v>
      </c>
      <c r="E41" s="86" t="s">
        <v>283</v>
      </c>
    </row>
    <row r="42" spans="1:5" ht="51.75" x14ac:dyDescent="0.25">
      <c r="A42" s="86" t="s">
        <v>273</v>
      </c>
      <c r="B42" s="86" t="s">
        <v>274</v>
      </c>
      <c r="C42" s="86" t="s">
        <v>120</v>
      </c>
      <c r="D42" s="86" t="s">
        <v>406</v>
      </c>
      <c r="E42" s="86" t="s">
        <v>282</v>
      </c>
    </row>
    <row r="43" spans="1:5" ht="51.75" x14ac:dyDescent="0.25">
      <c r="A43" s="86" t="s">
        <v>273</v>
      </c>
      <c r="B43" s="86" t="s">
        <v>274</v>
      </c>
      <c r="C43" s="86" t="s">
        <v>120</v>
      </c>
      <c r="D43" s="86" t="s">
        <v>407</v>
      </c>
      <c r="E43" s="86" t="s">
        <v>275</v>
      </c>
    </row>
    <row r="44" spans="1:5" ht="51.75" x14ac:dyDescent="0.25">
      <c r="A44" s="86" t="s">
        <v>273</v>
      </c>
      <c r="B44" s="86" t="s">
        <v>274</v>
      </c>
      <c r="C44" s="86" t="s">
        <v>120</v>
      </c>
      <c r="D44" s="86" t="s">
        <v>301</v>
      </c>
      <c r="E44" s="86" t="s">
        <v>283</v>
      </c>
    </row>
    <row r="45" spans="1:5" ht="39" x14ac:dyDescent="0.25">
      <c r="A45" s="86" t="s">
        <v>273</v>
      </c>
      <c r="B45" s="86" t="s">
        <v>274</v>
      </c>
      <c r="C45" s="86" t="s">
        <v>120</v>
      </c>
      <c r="D45" s="86" t="s">
        <v>303</v>
      </c>
      <c r="E45" s="86" t="s">
        <v>263</v>
      </c>
    </row>
    <row r="46" spans="1:5" ht="39" x14ac:dyDescent="0.25">
      <c r="A46" s="86" t="s">
        <v>273</v>
      </c>
      <c r="B46" s="86" t="s">
        <v>274</v>
      </c>
      <c r="C46" s="86" t="s">
        <v>120</v>
      </c>
      <c r="D46" s="86" t="s">
        <v>434</v>
      </c>
      <c r="E46" s="86" t="s">
        <v>263</v>
      </c>
    </row>
    <row r="47" spans="1:5" ht="51.75" x14ac:dyDescent="0.25">
      <c r="A47" s="86" t="s">
        <v>273</v>
      </c>
      <c r="B47" s="86" t="s">
        <v>274</v>
      </c>
      <c r="C47" s="86" t="s">
        <v>120</v>
      </c>
      <c r="D47" s="86" t="s">
        <v>431</v>
      </c>
      <c r="E47" s="86" t="s">
        <v>263</v>
      </c>
    </row>
    <row r="48" spans="1:5" ht="51.75" x14ac:dyDescent="0.25">
      <c r="A48" s="86" t="s">
        <v>273</v>
      </c>
      <c r="B48" s="86" t="s">
        <v>274</v>
      </c>
      <c r="C48" s="86" t="s">
        <v>120</v>
      </c>
      <c r="D48" s="86" t="s">
        <v>424</v>
      </c>
      <c r="E48" s="86" t="s">
        <v>278</v>
      </c>
    </row>
    <row r="49" spans="1:5" ht="51.75" x14ac:dyDescent="0.25">
      <c r="A49" s="86" t="s">
        <v>273</v>
      </c>
      <c r="B49" s="86" t="s">
        <v>274</v>
      </c>
      <c r="C49" s="86" t="s">
        <v>120</v>
      </c>
      <c r="D49" s="86" t="s">
        <v>415</v>
      </c>
      <c r="E49" s="86" t="s">
        <v>278</v>
      </c>
    </row>
    <row r="50" spans="1:5" ht="51.75" x14ac:dyDescent="0.25">
      <c r="A50" s="86" t="s">
        <v>273</v>
      </c>
      <c r="B50" s="86" t="s">
        <v>274</v>
      </c>
      <c r="C50" s="86" t="s">
        <v>120</v>
      </c>
      <c r="D50" s="86" t="s">
        <v>302</v>
      </c>
      <c r="E50" s="86" t="s">
        <v>286</v>
      </c>
    </row>
    <row r="51" spans="1:5" ht="51.75" x14ac:dyDescent="0.25">
      <c r="A51" s="86" t="s">
        <v>273</v>
      </c>
      <c r="B51" s="86" t="s">
        <v>274</v>
      </c>
      <c r="C51" s="86" t="s">
        <v>120</v>
      </c>
      <c r="D51" s="86" t="s">
        <v>433</v>
      </c>
      <c r="E51" s="86" t="s">
        <v>286</v>
      </c>
    </row>
    <row r="52" spans="1:5" ht="51.75" x14ac:dyDescent="0.25">
      <c r="A52" s="86" t="s">
        <v>273</v>
      </c>
      <c r="B52" s="86" t="s">
        <v>274</v>
      </c>
      <c r="C52" s="86" t="s">
        <v>120</v>
      </c>
      <c r="D52" s="86" t="s">
        <v>432</v>
      </c>
      <c r="E52" s="86" t="s">
        <v>283</v>
      </c>
    </row>
    <row r="53" spans="1:5" ht="51.75" x14ac:dyDescent="0.25">
      <c r="A53" s="86" t="s">
        <v>273</v>
      </c>
      <c r="B53" s="86" t="s">
        <v>274</v>
      </c>
      <c r="C53" s="86" t="s">
        <v>120</v>
      </c>
      <c r="D53" s="86" t="s">
        <v>425</v>
      </c>
      <c r="E53" s="86" t="s">
        <v>282</v>
      </c>
    </row>
    <row r="54" spans="1:5" ht="51.75" x14ac:dyDescent="0.25">
      <c r="A54" s="86" t="s">
        <v>273</v>
      </c>
      <c r="B54" s="86" t="s">
        <v>274</v>
      </c>
      <c r="C54" s="86" t="s">
        <v>120</v>
      </c>
      <c r="D54" s="86" t="s">
        <v>416</v>
      </c>
      <c r="E54" s="86" t="s">
        <v>286</v>
      </c>
    </row>
    <row r="55" spans="1:5" ht="51.75" x14ac:dyDescent="0.25">
      <c r="A55" s="86" t="s">
        <v>273</v>
      </c>
      <c r="B55" s="86" t="s">
        <v>274</v>
      </c>
      <c r="C55" s="86" t="s">
        <v>120</v>
      </c>
      <c r="D55" s="86" t="s">
        <v>435</v>
      </c>
      <c r="E55" s="86" t="s">
        <v>282</v>
      </c>
    </row>
    <row r="56" spans="1:5" ht="51.75" x14ac:dyDescent="0.25">
      <c r="A56" s="86" t="s">
        <v>273</v>
      </c>
      <c r="B56" s="86" t="s">
        <v>274</v>
      </c>
      <c r="C56" s="86" t="s">
        <v>120</v>
      </c>
      <c r="D56" s="86" t="s">
        <v>430</v>
      </c>
      <c r="E56" s="86" t="s">
        <v>283</v>
      </c>
    </row>
    <row r="57" spans="1:5" ht="51.75" x14ac:dyDescent="0.25">
      <c r="A57" s="86" t="s">
        <v>273</v>
      </c>
      <c r="B57" s="86" t="s">
        <v>274</v>
      </c>
      <c r="C57" s="86" t="s">
        <v>120</v>
      </c>
      <c r="D57" s="86" t="s">
        <v>423</v>
      </c>
      <c r="E57" s="86" t="s">
        <v>275</v>
      </c>
    </row>
    <row r="58" spans="1:5" ht="51.75" x14ac:dyDescent="0.25">
      <c r="A58" s="86" t="s">
        <v>273</v>
      </c>
      <c r="B58" s="86" t="s">
        <v>274</v>
      </c>
      <c r="C58" s="86" t="s">
        <v>120</v>
      </c>
      <c r="D58" s="86" t="s">
        <v>414</v>
      </c>
      <c r="E58" s="86" t="s">
        <v>282</v>
      </c>
    </row>
    <row r="59" spans="1:5" ht="51.75" x14ac:dyDescent="0.25">
      <c r="A59" s="86" t="s">
        <v>273</v>
      </c>
      <c r="B59" s="86" t="s">
        <v>274</v>
      </c>
      <c r="C59" s="86" t="s">
        <v>120</v>
      </c>
      <c r="D59" s="86" t="s">
        <v>299</v>
      </c>
      <c r="E59" s="86" t="s">
        <v>275</v>
      </c>
    </row>
    <row r="60" spans="1:5" ht="39" x14ac:dyDescent="0.25">
      <c r="A60" s="86" t="s">
        <v>273</v>
      </c>
      <c r="B60" s="86" t="s">
        <v>274</v>
      </c>
      <c r="C60" s="86" t="s">
        <v>120</v>
      </c>
      <c r="D60" s="86" t="s">
        <v>305</v>
      </c>
      <c r="E60" s="86" t="s">
        <v>278</v>
      </c>
    </row>
    <row r="61" spans="1:5" ht="39" x14ac:dyDescent="0.25">
      <c r="A61" s="86" t="s">
        <v>273</v>
      </c>
      <c r="B61" s="86" t="s">
        <v>274</v>
      </c>
      <c r="C61" s="86" t="s">
        <v>120</v>
      </c>
      <c r="D61" s="86" t="s">
        <v>436</v>
      </c>
      <c r="E61" s="86" t="s">
        <v>278</v>
      </c>
    </row>
    <row r="62" spans="1:5" ht="51.75" x14ac:dyDescent="0.25">
      <c r="A62" s="86" t="s">
        <v>273</v>
      </c>
      <c r="B62" s="86" t="s">
        <v>274</v>
      </c>
      <c r="C62" s="86" t="s">
        <v>120</v>
      </c>
      <c r="D62" s="86" t="s">
        <v>429</v>
      </c>
      <c r="E62" s="86" t="s">
        <v>263</v>
      </c>
    </row>
    <row r="63" spans="1:5" ht="51.75" x14ac:dyDescent="0.25">
      <c r="A63" s="86" t="s">
        <v>273</v>
      </c>
      <c r="B63" s="86" t="s">
        <v>274</v>
      </c>
      <c r="C63" s="86" t="s">
        <v>120</v>
      </c>
      <c r="D63" s="86" t="s">
        <v>422</v>
      </c>
      <c r="E63" s="86" t="s">
        <v>263</v>
      </c>
    </row>
    <row r="64" spans="1:5" ht="51.75" x14ac:dyDescent="0.25">
      <c r="A64" s="86" t="s">
        <v>273</v>
      </c>
      <c r="B64" s="86" t="s">
        <v>274</v>
      </c>
      <c r="C64" s="86" t="s">
        <v>120</v>
      </c>
      <c r="D64" s="86" t="s">
        <v>413</v>
      </c>
      <c r="E64" s="86" t="s">
        <v>278</v>
      </c>
    </row>
    <row r="65" spans="1:5" ht="51.75" x14ac:dyDescent="0.25">
      <c r="A65" s="86" t="s">
        <v>273</v>
      </c>
      <c r="B65" s="86" t="s">
        <v>274</v>
      </c>
      <c r="C65" s="86" t="s">
        <v>120</v>
      </c>
      <c r="D65" s="86" t="s">
        <v>304</v>
      </c>
      <c r="E65" s="86" t="s">
        <v>285</v>
      </c>
    </row>
    <row r="66" spans="1:5" ht="51.75" x14ac:dyDescent="0.25">
      <c r="A66" s="86" t="s">
        <v>273</v>
      </c>
      <c r="B66" s="86" t="s">
        <v>274</v>
      </c>
      <c r="C66" s="86" t="s">
        <v>120</v>
      </c>
      <c r="D66" s="86" t="s">
        <v>437</v>
      </c>
      <c r="E66" s="86" t="s">
        <v>275</v>
      </c>
    </row>
    <row r="67" spans="1:5" ht="51.75" x14ac:dyDescent="0.25">
      <c r="A67" s="86" t="s">
        <v>273</v>
      </c>
      <c r="B67" s="86" t="s">
        <v>274</v>
      </c>
      <c r="C67" s="86" t="s">
        <v>120</v>
      </c>
      <c r="D67" s="86" t="s">
        <v>428</v>
      </c>
      <c r="E67" s="86" t="s">
        <v>283</v>
      </c>
    </row>
    <row r="68" spans="1:5" ht="51.75" x14ac:dyDescent="0.25">
      <c r="A68" s="86" t="s">
        <v>273</v>
      </c>
      <c r="B68" s="86" t="s">
        <v>274</v>
      </c>
      <c r="C68" s="86" t="s">
        <v>120</v>
      </c>
      <c r="D68" s="86" t="s">
        <v>421</v>
      </c>
      <c r="E68" s="86" t="s">
        <v>282</v>
      </c>
    </row>
    <row r="69" spans="1:5" ht="51.75" x14ac:dyDescent="0.25">
      <c r="A69" s="86" t="s">
        <v>273</v>
      </c>
      <c r="B69" s="86" t="s">
        <v>274</v>
      </c>
      <c r="C69" s="86" t="s">
        <v>120</v>
      </c>
      <c r="D69" s="86" t="s">
        <v>412</v>
      </c>
      <c r="E69" s="86" t="s">
        <v>275</v>
      </c>
    </row>
    <row r="70" spans="1:5" ht="51.75" x14ac:dyDescent="0.25">
      <c r="A70" s="86" t="s">
        <v>273</v>
      </c>
      <c r="B70" s="86" t="s">
        <v>274</v>
      </c>
      <c r="C70" s="86" t="s">
        <v>120</v>
      </c>
      <c r="D70" s="86" t="s">
        <v>438</v>
      </c>
      <c r="E70" s="86" t="s">
        <v>282</v>
      </c>
    </row>
    <row r="71" spans="1:5" ht="51.75" x14ac:dyDescent="0.25">
      <c r="A71" s="86" t="s">
        <v>273</v>
      </c>
      <c r="B71" s="86" t="s">
        <v>274</v>
      </c>
      <c r="C71" s="86" t="s">
        <v>120</v>
      </c>
      <c r="D71" s="86" t="s">
        <v>427</v>
      </c>
      <c r="E71" s="86" t="s">
        <v>283</v>
      </c>
    </row>
    <row r="72" spans="1:5" ht="51.75" x14ac:dyDescent="0.25">
      <c r="A72" s="86" t="s">
        <v>273</v>
      </c>
      <c r="B72" s="86" t="s">
        <v>274</v>
      </c>
      <c r="C72" s="86" t="s">
        <v>120</v>
      </c>
      <c r="D72" s="86" t="s">
        <v>420</v>
      </c>
      <c r="E72" s="86" t="s">
        <v>286</v>
      </c>
    </row>
    <row r="73" spans="1:5" ht="51.75" x14ac:dyDescent="0.25">
      <c r="A73" s="86" t="s">
        <v>273</v>
      </c>
      <c r="B73" s="86" t="s">
        <v>274</v>
      </c>
      <c r="C73" s="86" t="s">
        <v>120</v>
      </c>
      <c r="D73" s="86" t="s">
        <v>411</v>
      </c>
      <c r="E73" s="86" t="s">
        <v>275</v>
      </c>
    </row>
    <row r="74" spans="1:5" ht="51.75" x14ac:dyDescent="0.25">
      <c r="A74" s="86" t="s">
        <v>273</v>
      </c>
      <c r="B74" s="86" t="s">
        <v>274</v>
      </c>
      <c r="C74" s="86" t="s">
        <v>120</v>
      </c>
      <c r="D74" s="86" t="s">
        <v>300</v>
      </c>
      <c r="E74" s="86" t="s">
        <v>282</v>
      </c>
    </row>
    <row r="75" spans="1:5" ht="39" x14ac:dyDescent="0.25">
      <c r="A75" s="86" t="s">
        <v>273</v>
      </c>
      <c r="B75" s="86" t="s">
        <v>274</v>
      </c>
      <c r="C75" s="86" t="s">
        <v>120</v>
      </c>
      <c r="D75" s="86" t="s">
        <v>307</v>
      </c>
      <c r="E75" s="86" t="s">
        <v>263</v>
      </c>
    </row>
    <row r="76" spans="1:5" ht="51.75" x14ac:dyDescent="0.25">
      <c r="A76" s="86" t="s">
        <v>273</v>
      </c>
      <c r="B76" s="86" t="s">
        <v>274</v>
      </c>
      <c r="C76" s="86" t="s">
        <v>120</v>
      </c>
      <c r="D76" s="86" t="s">
        <v>409</v>
      </c>
      <c r="E76" s="86" t="s">
        <v>282</v>
      </c>
    </row>
    <row r="77" spans="1:5" ht="39" x14ac:dyDescent="0.25">
      <c r="A77" s="86" t="s">
        <v>273</v>
      </c>
      <c r="B77" s="86" t="s">
        <v>274</v>
      </c>
      <c r="C77" s="86" t="s">
        <v>120</v>
      </c>
      <c r="D77" s="86" t="s">
        <v>410</v>
      </c>
      <c r="E77" s="86" t="s">
        <v>278</v>
      </c>
    </row>
    <row r="78" spans="1:5" ht="51.75" x14ac:dyDescent="0.25">
      <c r="A78" s="86" t="s">
        <v>273</v>
      </c>
      <c r="B78" s="86" t="s">
        <v>274</v>
      </c>
      <c r="C78" s="86" t="s">
        <v>120</v>
      </c>
      <c r="D78" s="86" t="s">
        <v>408</v>
      </c>
      <c r="E78" s="86" t="s">
        <v>275</v>
      </c>
    </row>
    <row r="79" spans="1:5" ht="51.75" x14ac:dyDescent="0.25">
      <c r="A79" s="86" t="s">
        <v>273</v>
      </c>
      <c r="B79" s="86" t="s">
        <v>274</v>
      </c>
      <c r="C79" s="86" t="s">
        <v>120</v>
      </c>
      <c r="D79" s="86" t="s">
        <v>306</v>
      </c>
      <c r="E79" s="86" t="s">
        <v>282</v>
      </c>
    </row>
    <row r="80" spans="1:5" ht="51.75" x14ac:dyDescent="0.25">
      <c r="A80" s="86" t="s">
        <v>273</v>
      </c>
      <c r="B80" s="86" t="s">
        <v>274</v>
      </c>
      <c r="C80" s="86" t="s">
        <v>120</v>
      </c>
      <c r="D80" s="86" t="s">
        <v>419</v>
      </c>
      <c r="E80" s="86" t="s">
        <v>275</v>
      </c>
    </row>
    <row r="81" spans="1:5" ht="39" x14ac:dyDescent="0.25">
      <c r="A81" s="86" t="s">
        <v>273</v>
      </c>
      <c r="B81" s="86" t="s">
        <v>274</v>
      </c>
      <c r="C81" s="86" t="s">
        <v>120</v>
      </c>
      <c r="D81" s="86" t="s">
        <v>418</v>
      </c>
      <c r="E81" s="86" t="s">
        <v>278</v>
      </c>
    </row>
    <row r="82" spans="1:5" ht="51.75" x14ac:dyDescent="0.25">
      <c r="A82" s="86" t="s">
        <v>273</v>
      </c>
      <c r="B82" s="86" t="s">
        <v>274</v>
      </c>
      <c r="C82" s="86" t="s">
        <v>120</v>
      </c>
      <c r="D82" s="86" t="s">
        <v>417</v>
      </c>
      <c r="E82" s="86" t="s">
        <v>286</v>
      </c>
    </row>
    <row r="83" spans="1:5" ht="51.75" x14ac:dyDescent="0.25">
      <c r="A83" s="86" t="s">
        <v>273</v>
      </c>
      <c r="B83" s="86" t="s">
        <v>274</v>
      </c>
      <c r="C83" s="86" t="s">
        <v>120</v>
      </c>
      <c r="D83" s="86" t="s">
        <v>426</v>
      </c>
      <c r="E83" s="86" t="s">
        <v>286</v>
      </c>
    </row>
    <row r="84" spans="1:5" ht="39" x14ac:dyDescent="0.25">
      <c r="A84" s="86" t="s">
        <v>264</v>
      </c>
      <c r="B84" s="86" t="s">
        <v>164</v>
      </c>
      <c r="C84" s="86" t="s">
        <v>120</v>
      </c>
      <c r="D84" s="86" t="s">
        <v>258</v>
      </c>
      <c r="E84" s="86" t="s">
        <v>263</v>
      </c>
    </row>
    <row r="85" spans="1:5" ht="51.75" x14ac:dyDescent="0.25">
      <c r="A85" s="86" t="s">
        <v>264</v>
      </c>
      <c r="B85" s="86" t="s">
        <v>164</v>
      </c>
      <c r="C85" s="86" t="s">
        <v>120</v>
      </c>
      <c r="D85" s="86" t="s">
        <v>266</v>
      </c>
      <c r="E85" s="86" t="s">
        <v>268</v>
      </c>
    </row>
    <row r="86" spans="1:5" ht="39" x14ac:dyDescent="0.25">
      <c r="A86" s="86" t="s">
        <v>264</v>
      </c>
      <c r="B86" s="86" t="s">
        <v>164</v>
      </c>
      <c r="C86" s="86" t="s">
        <v>120</v>
      </c>
      <c r="D86" s="86" t="s">
        <v>277</v>
      </c>
      <c r="E86" s="86" t="s">
        <v>263</v>
      </c>
    </row>
    <row r="87" spans="1:5" ht="39" x14ac:dyDescent="0.25">
      <c r="A87" s="86" t="s">
        <v>264</v>
      </c>
      <c r="B87" s="86" t="s">
        <v>164</v>
      </c>
      <c r="C87" s="86" t="s">
        <v>120</v>
      </c>
      <c r="D87" s="86" t="s">
        <v>279</v>
      </c>
      <c r="E87" s="86" t="s">
        <v>278</v>
      </c>
    </row>
    <row r="88" spans="1:5" ht="39" x14ac:dyDescent="0.25">
      <c r="A88" s="86" t="s">
        <v>264</v>
      </c>
      <c r="B88" s="86" t="s">
        <v>164</v>
      </c>
      <c r="C88" s="86" t="s">
        <v>120</v>
      </c>
      <c r="D88" s="86" t="s">
        <v>381</v>
      </c>
      <c r="E88" s="86" t="s">
        <v>263</v>
      </c>
    </row>
    <row r="89" spans="1:5" ht="39" x14ac:dyDescent="0.25">
      <c r="A89" s="86" t="s">
        <v>264</v>
      </c>
      <c r="B89" s="86" t="s">
        <v>164</v>
      </c>
      <c r="C89" s="86" t="s">
        <v>120</v>
      </c>
      <c r="D89" s="86" t="s">
        <v>382</v>
      </c>
      <c r="E89" s="86" t="s">
        <v>263</v>
      </c>
    </row>
    <row r="90" spans="1:5" ht="51.75" x14ac:dyDescent="0.25">
      <c r="A90" s="86" t="s">
        <v>264</v>
      </c>
      <c r="B90" s="86" t="s">
        <v>164</v>
      </c>
      <c r="C90" s="86" t="s">
        <v>120</v>
      </c>
      <c r="D90" s="86" t="s">
        <v>384</v>
      </c>
      <c r="E90" s="86" t="s">
        <v>278</v>
      </c>
    </row>
    <row r="91" spans="1:5" ht="51.75" x14ac:dyDescent="0.25">
      <c r="A91" s="86" t="s">
        <v>264</v>
      </c>
      <c r="B91" s="86" t="s">
        <v>164</v>
      </c>
      <c r="C91" s="86" t="s">
        <v>120</v>
      </c>
      <c r="D91" s="86" t="s">
        <v>383</v>
      </c>
      <c r="E91" s="86" t="s">
        <v>263</v>
      </c>
    </row>
    <row r="92" spans="1:5" ht="26.25" x14ac:dyDescent="0.25">
      <c r="A92" s="86" t="s">
        <v>264</v>
      </c>
      <c r="B92" s="86" t="s">
        <v>164</v>
      </c>
      <c r="C92" s="86" t="s">
        <v>120</v>
      </c>
      <c r="D92" s="86" t="s">
        <v>280</v>
      </c>
      <c r="E92" s="86" t="s">
        <v>281</v>
      </c>
    </row>
    <row r="93" spans="1:5" ht="39" x14ac:dyDescent="0.25">
      <c r="A93" s="86" t="s">
        <v>264</v>
      </c>
      <c r="B93" s="86" t="s">
        <v>164</v>
      </c>
      <c r="C93" s="86" t="s">
        <v>120</v>
      </c>
      <c r="D93" s="86" t="s">
        <v>385</v>
      </c>
      <c r="E93" s="86" t="s">
        <v>281</v>
      </c>
    </row>
    <row r="94" spans="1:5" ht="51.75" x14ac:dyDescent="0.25">
      <c r="A94" s="86" t="s">
        <v>264</v>
      </c>
      <c r="B94" s="86" t="s">
        <v>164</v>
      </c>
      <c r="C94" s="86" t="s">
        <v>120</v>
      </c>
      <c r="D94" s="86" t="s">
        <v>386</v>
      </c>
      <c r="E94" s="86" t="s">
        <v>281</v>
      </c>
    </row>
    <row r="95" spans="1:5" ht="51.75" x14ac:dyDescent="0.25">
      <c r="A95" s="86" t="s">
        <v>264</v>
      </c>
      <c r="B95" s="86" t="s">
        <v>164</v>
      </c>
      <c r="C95" s="86" t="s">
        <v>120</v>
      </c>
      <c r="D95" s="86" t="s">
        <v>388</v>
      </c>
      <c r="E95" s="86" t="s">
        <v>281</v>
      </c>
    </row>
    <row r="96" spans="1:5" ht="51.75" x14ac:dyDescent="0.25">
      <c r="A96" s="86" t="s">
        <v>264</v>
      </c>
      <c r="B96" s="86" t="s">
        <v>164</v>
      </c>
      <c r="C96" s="86" t="s">
        <v>120</v>
      </c>
      <c r="D96" s="86" t="s">
        <v>387</v>
      </c>
      <c r="E96" s="86" t="s">
        <v>281</v>
      </c>
    </row>
    <row r="97" spans="1:5" ht="39" x14ac:dyDescent="0.25">
      <c r="A97" s="86" t="s">
        <v>264</v>
      </c>
      <c r="B97" s="86" t="s">
        <v>164</v>
      </c>
      <c r="C97" s="86" t="s">
        <v>120</v>
      </c>
      <c r="D97" s="86" t="s">
        <v>395</v>
      </c>
      <c r="E97" s="86" t="s">
        <v>263</v>
      </c>
    </row>
    <row r="98" spans="1:5" ht="39" x14ac:dyDescent="0.25">
      <c r="A98" s="86" t="s">
        <v>264</v>
      </c>
      <c r="B98" s="86" t="s">
        <v>164</v>
      </c>
      <c r="C98" s="86" t="s">
        <v>120</v>
      </c>
      <c r="D98" s="86" t="s">
        <v>396</v>
      </c>
      <c r="E98" s="86" t="s">
        <v>278</v>
      </c>
    </row>
    <row r="99" spans="1:5" ht="39" x14ac:dyDescent="0.25">
      <c r="A99" s="86" t="s">
        <v>264</v>
      </c>
      <c r="B99" s="86" t="s">
        <v>164</v>
      </c>
      <c r="C99" s="86" t="s">
        <v>120</v>
      </c>
      <c r="D99" s="86" t="s">
        <v>397</v>
      </c>
      <c r="E99" s="86" t="s">
        <v>263</v>
      </c>
    </row>
    <row r="100" spans="1:5" ht="39" x14ac:dyDescent="0.25">
      <c r="A100" s="86" t="s">
        <v>264</v>
      </c>
      <c r="B100" s="86" t="s">
        <v>164</v>
      </c>
      <c r="C100" s="86" t="s">
        <v>120</v>
      </c>
      <c r="D100" s="86" t="s">
        <v>398</v>
      </c>
      <c r="E100" s="86" t="s">
        <v>278</v>
      </c>
    </row>
    <row r="101" spans="1:5" ht="51.75" x14ac:dyDescent="0.25">
      <c r="A101" s="86" t="s">
        <v>264</v>
      </c>
      <c r="B101" s="86" t="s">
        <v>164</v>
      </c>
      <c r="C101" s="86" t="s">
        <v>120</v>
      </c>
      <c r="D101" s="86" t="s">
        <v>272</v>
      </c>
      <c r="E101" s="86" t="s">
        <v>268</v>
      </c>
    </row>
    <row r="102" spans="1:5" ht="39" x14ac:dyDescent="0.25">
      <c r="A102" s="86" t="s">
        <v>264</v>
      </c>
      <c r="B102" s="86" t="s">
        <v>164</v>
      </c>
      <c r="C102" s="86" t="s">
        <v>120</v>
      </c>
      <c r="D102" s="86" t="s">
        <v>276</v>
      </c>
      <c r="E102" s="86" t="s">
        <v>263</v>
      </c>
    </row>
    <row r="103" spans="1:5" ht="39" x14ac:dyDescent="0.25">
      <c r="A103" s="86" t="s">
        <v>264</v>
      </c>
      <c r="B103" s="86" t="s">
        <v>164</v>
      </c>
      <c r="C103" s="86" t="s">
        <v>120</v>
      </c>
      <c r="D103" s="86" t="s">
        <v>389</v>
      </c>
      <c r="E103" s="86" t="s">
        <v>263</v>
      </c>
    </row>
    <row r="104" spans="1:5" ht="51.75" x14ac:dyDescent="0.25">
      <c r="A104" s="86" t="s">
        <v>264</v>
      </c>
      <c r="B104" s="86" t="s">
        <v>164</v>
      </c>
      <c r="C104" s="86" t="s">
        <v>120</v>
      </c>
      <c r="D104" s="86" t="s">
        <v>390</v>
      </c>
      <c r="E104" s="86" t="s">
        <v>278</v>
      </c>
    </row>
    <row r="105" spans="1:5" ht="51.75" x14ac:dyDescent="0.25">
      <c r="A105" s="86" t="s">
        <v>264</v>
      </c>
      <c r="B105" s="86" t="s">
        <v>164</v>
      </c>
      <c r="C105" s="86" t="s">
        <v>120</v>
      </c>
      <c r="D105" s="86" t="s">
        <v>392</v>
      </c>
      <c r="E105" s="86" t="s">
        <v>263</v>
      </c>
    </row>
    <row r="106" spans="1:5" ht="51.75" x14ac:dyDescent="0.25">
      <c r="A106" s="86" t="s">
        <v>264</v>
      </c>
      <c r="B106" s="86" t="s">
        <v>164</v>
      </c>
      <c r="C106" s="86" t="s">
        <v>120</v>
      </c>
      <c r="D106" s="86" t="s">
        <v>391</v>
      </c>
      <c r="E106" s="86" t="s">
        <v>263</v>
      </c>
    </row>
    <row r="107" spans="1:5" ht="51.75" x14ac:dyDescent="0.25">
      <c r="A107" s="86" t="s">
        <v>264</v>
      </c>
      <c r="B107" s="86" t="s">
        <v>164</v>
      </c>
      <c r="C107" s="86" t="s">
        <v>120</v>
      </c>
      <c r="D107" s="86" t="s">
        <v>403</v>
      </c>
      <c r="E107" s="86" t="s">
        <v>268</v>
      </c>
    </row>
    <row r="108" spans="1:5" ht="51.75" x14ac:dyDescent="0.25">
      <c r="A108" s="86" t="s">
        <v>264</v>
      </c>
      <c r="B108" s="86" t="s">
        <v>164</v>
      </c>
      <c r="C108" s="86" t="s">
        <v>120</v>
      </c>
      <c r="D108" s="86" t="s">
        <v>404</v>
      </c>
      <c r="E108" s="86" t="s">
        <v>285</v>
      </c>
    </row>
    <row r="109" spans="1:5" ht="51.75" x14ac:dyDescent="0.25">
      <c r="A109" s="86" t="s">
        <v>264</v>
      </c>
      <c r="B109" s="86" t="s">
        <v>164</v>
      </c>
      <c r="C109" s="86" t="s">
        <v>120</v>
      </c>
      <c r="D109" s="86" t="s">
        <v>405</v>
      </c>
      <c r="E109" s="86" t="s">
        <v>286</v>
      </c>
    </row>
    <row r="110" spans="1:5" ht="51.75" x14ac:dyDescent="0.25">
      <c r="A110" s="86" t="s">
        <v>264</v>
      </c>
      <c r="B110" s="86" t="s">
        <v>164</v>
      </c>
      <c r="C110" s="86" t="s">
        <v>120</v>
      </c>
      <c r="D110" s="86" t="s">
        <v>406</v>
      </c>
      <c r="E110" s="86" t="s">
        <v>283</v>
      </c>
    </row>
    <row r="111" spans="1:5" ht="51.75" x14ac:dyDescent="0.25">
      <c r="A111" s="86" t="s">
        <v>264</v>
      </c>
      <c r="B111" s="86" t="s">
        <v>164</v>
      </c>
      <c r="C111" s="86" t="s">
        <v>120</v>
      </c>
      <c r="D111" s="86" t="s">
        <v>407</v>
      </c>
      <c r="E111" s="86" t="s">
        <v>286</v>
      </c>
    </row>
    <row r="112" spans="1:5" ht="39" x14ac:dyDescent="0.25">
      <c r="A112" s="86" t="s">
        <v>264</v>
      </c>
      <c r="B112" s="86" t="s">
        <v>164</v>
      </c>
      <c r="C112" s="86" t="s">
        <v>120</v>
      </c>
      <c r="D112" s="86" t="s">
        <v>393</v>
      </c>
      <c r="E112" s="86" t="s">
        <v>263</v>
      </c>
    </row>
    <row r="113" spans="1:5" ht="51.75" x14ac:dyDescent="0.25">
      <c r="A113" s="86" t="s">
        <v>264</v>
      </c>
      <c r="B113" s="86" t="s">
        <v>164</v>
      </c>
      <c r="C113" s="86" t="s">
        <v>120</v>
      </c>
      <c r="D113" s="86" t="s">
        <v>394</v>
      </c>
      <c r="E113" s="86" t="s">
        <v>285</v>
      </c>
    </row>
    <row r="114" spans="1:5" ht="51.75" x14ac:dyDescent="0.25">
      <c r="A114" s="86" t="s">
        <v>264</v>
      </c>
      <c r="B114" s="86" t="s">
        <v>164</v>
      </c>
      <c r="C114" s="86" t="s">
        <v>120</v>
      </c>
      <c r="D114" s="86" t="s">
        <v>300</v>
      </c>
      <c r="E114" s="86" t="s">
        <v>286</v>
      </c>
    </row>
    <row r="115" spans="1:5" ht="39" x14ac:dyDescent="0.25">
      <c r="A115" s="86" t="s">
        <v>264</v>
      </c>
      <c r="B115" s="86" t="s">
        <v>164</v>
      </c>
      <c r="C115" s="86" t="s">
        <v>120</v>
      </c>
      <c r="D115" s="86" t="s">
        <v>307</v>
      </c>
      <c r="E115" s="86" t="s">
        <v>263</v>
      </c>
    </row>
    <row r="116" spans="1:5" ht="51.75" x14ac:dyDescent="0.25">
      <c r="A116" s="86" t="s">
        <v>264</v>
      </c>
      <c r="B116" s="86" t="s">
        <v>164</v>
      </c>
      <c r="C116" s="86" t="s">
        <v>120</v>
      </c>
      <c r="D116" s="86" t="s">
        <v>408</v>
      </c>
      <c r="E116" s="86" t="s">
        <v>283</v>
      </c>
    </row>
    <row r="117" spans="1:5" ht="51.75" x14ac:dyDescent="0.25">
      <c r="A117" s="86" t="s">
        <v>264</v>
      </c>
      <c r="B117" s="86" t="s">
        <v>164</v>
      </c>
      <c r="C117" s="86" t="s">
        <v>120</v>
      </c>
      <c r="D117" s="86" t="s">
        <v>409</v>
      </c>
      <c r="E117" s="86" t="s">
        <v>283</v>
      </c>
    </row>
    <row r="118" spans="1:5" ht="39" x14ac:dyDescent="0.25">
      <c r="A118" s="86" t="s">
        <v>264</v>
      </c>
      <c r="B118" s="86" t="s">
        <v>164</v>
      </c>
      <c r="C118" s="86" t="s">
        <v>120</v>
      </c>
      <c r="D118" s="86" t="s">
        <v>410</v>
      </c>
      <c r="E118" s="86" t="s">
        <v>278</v>
      </c>
    </row>
    <row r="119" spans="1:5" ht="51.75" x14ac:dyDescent="0.25">
      <c r="A119" s="86" t="s">
        <v>264</v>
      </c>
      <c r="B119" s="86" t="s">
        <v>164</v>
      </c>
      <c r="C119" s="86" t="s">
        <v>120</v>
      </c>
      <c r="D119" s="86" t="s">
        <v>414</v>
      </c>
      <c r="E119" s="86" t="s">
        <v>286</v>
      </c>
    </row>
    <row r="120" spans="1:5" ht="51.75" x14ac:dyDescent="0.25">
      <c r="A120" s="86" t="s">
        <v>264</v>
      </c>
      <c r="B120" s="86" t="s">
        <v>164</v>
      </c>
      <c r="C120" s="86" t="s">
        <v>120</v>
      </c>
      <c r="D120" s="86" t="s">
        <v>415</v>
      </c>
      <c r="E120" s="86" t="s">
        <v>263</v>
      </c>
    </row>
    <row r="121" spans="1:5" ht="51.75" x14ac:dyDescent="0.25">
      <c r="A121" s="86" t="s">
        <v>264</v>
      </c>
      <c r="B121" s="86" t="s">
        <v>164</v>
      </c>
      <c r="C121" s="86" t="s">
        <v>120</v>
      </c>
      <c r="D121" s="86" t="s">
        <v>416</v>
      </c>
      <c r="E121" s="86" t="s">
        <v>268</v>
      </c>
    </row>
    <row r="122" spans="1:5" ht="51.75" x14ac:dyDescent="0.25">
      <c r="A122" s="86" t="s">
        <v>264</v>
      </c>
      <c r="B122" s="86" t="s">
        <v>164</v>
      </c>
      <c r="C122" s="86" t="s">
        <v>120</v>
      </c>
      <c r="D122" s="86" t="s">
        <v>411</v>
      </c>
      <c r="E122" s="86" t="s">
        <v>268</v>
      </c>
    </row>
    <row r="123" spans="1:5" ht="51.75" x14ac:dyDescent="0.25">
      <c r="A123" s="86" t="s">
        <v>264</v>
      </c>
      <c r="B123" s="86" t="s">
        <v>164</v>
      </c>
      <c r="C123" s="86" t="s">
        <v>120</v>
      </c>
      <c r="D123" s="86" t="s">
        <v>412</v>
      </c>
      <c r="E123" s="86" t="s">
        <v>283</v>
      </c>
    </row>
    <row r="124" spans="1:5" ht="51.75" x14ac:dyDescent="0.25">
      <c r="A124" s="86" t="s">
        <v>264</v>
      </c>
      <c r="B124" s="86" t="s">
        <v>164</v>
      </c>
      <c r="C124" s="86" t="s">
        <v>120</v>
      </c>
      <c r="D124" s="86" t="s">
        <v>413</v>
      </c>
      <c r="E124" s="86" t="s">
        <v>278</v>
      </c>
    </row>
    <row r="125" spans="1:5" ht="51.75" x14ac:dyDescent="0.25">
      <c r="A125" s="86" t="s">
        <v>264</v>
      </c>
      <c r="B125" s="86" t="s">
        <v>164</v>
      </c>
      <c r="C125" s="86" t="s">
        <v>120</v>
      </c>
      <c r="D125" s="86" t="s">
        <v>306</v>
      </c>
      <c r="E125" s="86" t="s">
        <v>283</v>
      </c>
    </row>
    <row r="126" spans="1:5" ht="51.75" x14ac:dyDescent="0.25">
      <c r="A126" s="86" t="s">
        <v>264</v>
      </c>
      <c r="B126" s="86" t="s">
        <v>164</v>
      </c>
      <c r="C126" s="86" t="s">
        <v>120</v>
      </c>
      <c r="D126" s="86" t="s">
        <v>419</v>
      </c>
      <c r="E126" s="86" t="s">
        <v>283</v>
      </c>
    </row>
    <row r="127" spans="1:5" ht="39" x14ac:dyDescent="0.25">
      <c r="A127" s="86" t="s">
        <v>264</v>
      </c>
      <c r="B127" s="86" t="s">
        <v>164</v>
      </c>
      <c r="C127" s="86" t="s">
        <v>120</v>
      </c>
      <c r="D127" s="86" t="s">
        <v>418</v>
      </c>
      <c r="E127" s="86" t="s">
        <v>278</v>
      </c>
    </row>
    <row r="128" spans="1:5" ht="51.75" x14ac:dyDescent="0.25">
      <c r="A128" s="86" t="s">
        <v>264</v>
      </c>
      <c r="B128" s="86" t="s">
        <v>164</v>
      </c>
      <c r="C128" s="86" t="s">
        <v>120</v>
      </c>
      <c r="D128" s="86" t="s">
        <v>423</v>
      </c>
      <c r="E128" s="86" t="s">
        <v>268</v>
      </c>
    </row>
    <row r="129" spans="1:5" ht="51.75" x14ac:dyDescent="0.25">
      <c r="A129" s="86" t="s">
        <v>264</v>
      </c>
      <c r="B129" s="86" t="s">
        <v>164</v>
      </c>
      <c r="C129" s="86" t="s">
        <v>120</v>
      </c>
      <c r="D129" s="86" t="s">
        <v>424</v>
      </c>
      <c r="E129" s="86" t="s">
        <v>263</v>
      </c>
    </row>
    <row r="130" spans="1:5" ht="51.75" x14ac:dyDescent="0.25">
      <c r="A130" s="86" t="s">
        <v>264</v>
      </c>
      <c r="B130" s="86" t="s">
        <v>164</v>
      </c>
      <c r="C130" s="86" t="s">
        <v>120</v>
      </c>
      <c r="D130" s="86" t="s">
        <v>425</v>
      </c>
      <c r="E130" s="86" t="s">
        <v>268</v>
      </c>
    </row>
    <row r="131" spans="1:5" ht="51.75" x14ac:dyDescent="0.25">
      <c r="A131" s="86" t="s">
        <v>264</v>
      </c>
      <c r="B131" s="86" t="s">
        <v>164</v>
      </c>
      <c r="C131" s="86" t="s">
        <v>120</v>
      </c>
      <c r="D131" s="86" t="s">
        <v>420</v>
      </c>
      <c r="E131" s="86" t="s">
        <v>285</v>
      </c>
    </row>
    <row r="132" spans="1:5" ht="51.75" x14ac:dyDescent="0.25">
      <c r="A132" s="86" t="s">
        <v>264</v>
      </c>
      <c r="B132" s="86" t="s">
        <v>164</v>
      </c>
      <c r="C132" s="86" t="s">
        <v>120</v>
      </c>
      <c r="D132" s="86" t="s">
        <v>421</v>
      </c>
      <c r="E132" s="86" t="s">
        <v>286</v>
      </c>
    </row>
    <row r="133" spans="1:5" ht="51.75" x14ac:dyDescent="0.25">
      <c r="A133" s="86" t="s">
        <v>264</v>
      </c>
      <c r="B133" s="86" t="s">
        <v>164</v>
      </c>
      <c r="C133" s="86" t="s">
        <v>120</v>
      </c>
      <c r="D133" s="86" t="s">
        <v>422</v>
      </c>
      <c r="E133" s="86" t="s">
        <v>263</v>
      </c>
    </row>
    <row r="134" spans="1:5" ht="51.75" x14ac:dyDescent="0.25">
      <c r="A134" s="86" t="s">
        <v>264</v>
      </c>
      <c r="B134" s="86" t="s">
        <v>164</v>
      </c>
      <c r="C134" s="86" t="s">
        <v>120</v>
      </c>
      <c r="D134" s="86" t="s">
        <v>426</v>
      </c>
      <c r="E134" s="86" t="s">
        <v>268</v>
      </c>
    </row>
    <row r="135" spans="1:5" ht="51.75" x14ac:dyDescent="0.25">
      <c r="A135" s="86" t="s">
        <v>264</v>
      </c>
      <c r="B135" s="86" t="s">
        <v>164</v>
      </c>
      <c r="C135" s="86" t="s">
        <v>120</v>
      </c>
      <c r="D135" s="86" t="s">
        <v>417</v>
      </c>
      <c r="E135" s="86" t="s">
        <v>286</v>
      </c>
    </row>
    <row r="136" spans="1:5" ht="51.75" x14ac:dyDescent="0.25">
      <c r="A136" s="86" t="s">
        <v>264</v>
      </c>
      <c r="B136" s="86" t="s">
        <v>164</v>
      </c>
      <c r="C136" s="86" t="s">
        <v>120</v>
      </c>
      <c r="D136" s="86" t="s">
        <v>430</v>
      </c>
      <c r="E136" s="86" t="s">
        <v>283</v>
      </c>
    </row>
    <row r="137" spans="1:5" ht="51.75" x14ac:dyDescent="0.25">
      <c r="A137" s="86" t="s">
        <v>264</v>
      </c>
      <c r="B137" s="86" t="s">
        <v>164</v>
      </c>
      <c r="C137" s="86" t="s">
        <v>120</v>
      </c>
      <c r="D137" s="86" t="s">
        <v>431</v>
      </c>
      <c r="E137" s="86" t="s">
        <v>278</v>
      </c>
    </row>
    <row r="138" spans="1:5" ht="51.75" x14ac:dyDescent="0.25">
      <c r="A138" s="86" t="s">
        <v>264</v>
      </c>
      <c r="B138" s="86" t="s">
        <v>164</v>
      </c>
      <c r="C138" s="86" t="s">
        <v>120</v>
      </c>
      <c r="D138" s="86" t="s">
        <v>432</v>
      </c>
      <c r="E138" s="86" t="s">
        <v>283</v>
      </c>
    </row>
    <row r="139" spans="1:5" ht="51.75" x14ac:dyDescent="0.25">
      <c r="A139" s="86" t="s">
        <v>264</v>
      </c>
      <c r="B139" s="86" t="s">
        <v>164</v>
      </c>
      <c r="C139" s="86" t="s">
        <v>120</v>
      </c>
      <c r="D139" s="86" t="s">
        <v>427</v>
      </c>
      <c r="E139" s="86" t="s">
        <v>283</v>
      </c>
    </row>
    <row r="140" spans="1:5" ht="51.75" x14ac:dyDescent="0.25">
      <c r="A140" s="86" t="s">
        <v>264</v>
      </c>
      <c r="B140" s="86" t="s">
        <v>164</v>
      </c>
      <c r="C140" s="86" t="s">
        <v>120</v>
      </c>
      <c r="D140" s="86" t="s">
        <v>428</v>
      </c>
      <c r="E140" s="86" t="s">
        <v>286</v>
      </c>
    </row>
    <row r="141" spans="1:5" ht="51.75" x14ac:dyDescent="0.25">
      <c r="A141" s="86" t="s">
        <v>264</v>
      </c>
      <c r="B141" s="86" t="s">
        <v>164</v>
      </c>
      <c r="C141" s="86" t="s">
        <v>120</v>
      </c>
      <c r="D141" s="86" t="s">
        <v>429</v>
      </c>
      <c r="E141" s="86" t="s">
        <v>278</v>
      </c>
    </row>
    <row r="142" spans="1:5" ht="51.75" x14ac:dyDescent="0.25">
      <c r="A142" s="86" t="s">
        <v>264</v>
      </c>
      <c r="B142" s="86" t="s">
        <v>164</v>
      </c>
      <c r="C142" s="86" t="s">
        <v>120</v>
      </c>
      <c r="D142" s="86" t="s">
        <v>299</v>
      </c>
      <c r="E142" s="86" t="s">
        <v>285</v>
      </c>
    </row>
    <row r="143" spans="1:5" ht="39" x14ac:dyDescent="0.25">
      <c r="A143" s="86" t="s">
        <v>264</v>
      </c>
      <c r="B143" s="86" t="s">
        <v>164</v>
      </c>
      <c r="C143" s="86" t="s">
        <v>120</v>
      </c>
      <c r="D143" s="86" t="s">
        <v>305</v>
      </c>
      <c r="E143" s="86" t="s">
        <v>263</v>
      </c>
    </row>
    <row r="144" spans="1:5" ht="39" x14ac:dyDescent="0.25">
      <c r="A144" s="86" t="s">
        <v>264</v>
      </c>
      <c r="B144" s="86" t="s">
        <v>164</v>
      </c>
      <c r="C144" s="86" t="s">
        <v>120</v>
      </c>
      <c r="D144" s="86" t="s">
        <v>436</v>
      </c>
      <c r="E144" s="86" t="s">
        <v>278</v>
      </c>
    </row>
    <row r="145" spans="1:5" ht="51.75" x14ac:dyDescent="0.25">
      <c r="A145" s="86" t="s">
        <v>264</v>
      </c>
      <c r="B145" s="86" t="s">
        <v>164</v>
      </c>
      <c r="C145" s="86" t="s">
        <v>120</v>
      </c>
      <c r="D145" s="86" t="s">
        <v>304</v>
      </c>
      <c r="E145" s="86" t="s">
        <v>286</v>
      </c>
    </row>
    <row r="146" spans="1:5" ht="51.75" x14ac:dyDescent="0.25">
      <c r="A146" s="86" t="s">
        <v>264</v>
      </c>
      <c r="B146" s="86" t="s">
        <v>164</v>
      </c>
      <c r="C146" s="86" t="s">
        <v>120</v>
      </c>
      <c r="D146" s="86" t="s">
        <v>437</v>
      </c>
      <c r="E146" s="86" t="s">
        <v>286</v>
      </c>
    </row>
    <row r="147" spans="1:5" ht="51.75" x14ac:dyDescent="0.25">
      <c r="A147" s="86" t="s">
        <v>264</v>
      </c>
      <c r="B147" s="86" t="s">
        <v>164</v>
      </c>
      <c r="C147" s="86" t="s">
        <v>120</v>
      </c>
      <c r="D147" s="86" t="s">
        <v>438</v>
      </c>
      <c r="E147" s="86" t="s">
        <v>268</v>
      </c>
    </row>
    <row r="148" spans="1:5" ht="51.75" x14ac:dyDescent="0.25">
      <c r="A148" s="86" t="s">
        <v>264</v>
      </c>
      <c r="B148" s="86" t="s">
        <v>164</v>
      </c>
      <c r="C148" s="86" t="s">
        <v>120</v>
      </c>
      <c r="D148" s="86" t="s">
        <v>301</v>
      </c>
      <c r="E148" s="86" t="s">
        <v>285</v>
      </c>
    </row>
    <row r="149" spans="1:5" ht="51.75" x14ac:dyDescent="0.25">
      <c r="A149" s="86" t="s">
        <v>264</v>
      </c>
      <c r="B149" s="86" t="s">
        <v>164</v>
      </c>
      <c r="C149" s="86" t="s">
        <v>120</v>
      </c>
      <c r="D149" s="86" t="s">
        <v>302</v>
      </c>
      <c r="E149" s="86" t="s">
        <v>285</v>
      </c>
    </row>
    <row r="150" spans="1:5" ht="51.75" x14ac:dyDescent="0.25">
      <c r="A150" s="86" t="s">
        <v>264</v>
      </c>
      <c r="B150" s="86" t="s">
        <v>164</v>
      </c>
      <c r="C150" s="86" t="s">
        <v>120</v>
      </c>
      <c r="D150" s="86" t="s">
        <v>433</v>
      </c>
      <c r="E150" s="86" t="s">
        <v>286</v>
      </c>
    </row>
    <row r="151" spans="1:5" ht="39" x14ac:dyDescent="0.25">
      <c r="A151" s="86" t="s">
        <v>264</v>
      </c>
      <c r="B151" s="86" t="s">
        <v>164</v>
      </c>
      <c r="C151" s="86" t="s">
        <v>120</v>
      </c>
      <c r="D151" s="86" t="s">
        <v>303</v>
      </c>
      <c r="E151" s="86" t="s">
        <v>278</v>
      </c>
    </row>
    <row r="152" spans="1:5" ht="39" x14ac:dyDescent="0.25">
      <c r="A152" s="86" t="s">
        <v>264</v>
      </c>
      <c r="B152" s="86" t="s">
        <v>164</v>
      </c>
      <c r="C152" s="86" t="s">
        <v>120</v>
      </c>
      <c r="D152" s="86" t="s">
        <v>434</v>
      </c>
      <c r="E152" s="86" t="s">
        <v>263</v>
      </c>
    </row>
    <row r="153" spans="1:5" ht="51.75" x14ac:dyDescent="0.25">
      <c r="A153" s="86" t="s">
        <v>264</v>
      </c>
      <c r="B153" s="86" t="s">
        <v>164</v>
      </c>
      <c r="C153" s="86" t="s">
        <v>120</v>
      </c>
      <c r="D153" s="86" t="s">
        <v>435</v>
      </c>
      <c r="E153" s="86" t="s">
        <v>286</v>
      </c>
    </row>
    <row r="154" spans="1:5" ht="39" x14ac:dyDescent="0.25">
      <c r="A154" s="86" t="s">
        <v>262</v>
      </c>
      <c r="B154" s="86" t="s">
        <v>369</v>
      </c>
      <c r="C154" s="86" t="s">
        <v>120</v>
      </c>
      <c r="D154" s="86" t="s">
        <v>258</v>
      </c>
      <c r="E154" s="86" t="s">
        <v>278</v>
      </c>
    </row>
    <row r="155" spans="1:5" ht="51.75" x14ac:dyDescent="0.25">
      <c r="A155" s="86" t="s">
        <v>262</v>
      </c>
      <c r="B155" s="86" t="s">
        <v>369</v>
      </c>
      <c r="C155" s="86" t="s">
        <v>120</v>
      </c>
      <c r="D155" s="86" t="s">
        <v>266</v>
      </c>
      <c r="E155" s="86" t="s">
        <v>268</v>
      </c>
    </row>
    <row r="156" spans="1:5" ht="51.75" x14ac:dyDescent="0.25">
      <c r="A156" s="86" t="s">
        <v>262</v>
      </c>
      <c r="B156" s="86" t="s">
        <v>369</v>
      </c>
      <c r="C156" s="86" t="s">
        <v>120</v>
      </c>
      <c r="D156" s="86" t="s">
        <v>272</v>
      </c>
      <c r="E156" s="86" t="s">
        <v>285</v>
      </c>
    </row>
    <row r="157" spans="1:5" ht="39" x14ac:dyDescent="0.25">
      <c r="A157" s="86" t="s">
        <v>262</v>
      </c>
      <c r="B157" s="86" t="s">
        <v>369</v>
      </c>
      <c r="C157" s="86" t="s">
        <v>120</v>
      </c>
      <c r="D157" s="86" t="s">
        <v>277</v>
      </c>
      <c r="E157" s="86" t="s">
        <v>263</v>
      </c>
    </row>
    <row r="158" spans="1:5" ht="51.75" x14ac:dyDescent="0.25">
      <c r="A158" s="86" t="s">
        <v>262</v>
      </c>
      <c r="B158" s="86" t="s">
        <v>369</v>
      </c>
      <c r="C158" s="86" t="s">
        <v>120</v>
      </c>
      <c r="D158" s="86" t="s">
        <v>300</v>
      </c>
      <c r="E158" s="86" t="s">
        <v>275</v>
      </c>
    </row>
    <row r="159" spans="1:5" ht="51.75" x14ac:dyDescent="0.25">
      <c r="A159" s="86" t="s">
        <v>262</v>
      </c>
      <c r="B159" s="86" t="s">
        <v>369</v>
      </c>
      <c r="C159" s="86" t="s">
        <v>120</v>
      </c>
      <c r="D159" s="86" t="s">
        <v>306</v>
      </c>
      <c r="E159" s="86" t="s">
        <v>286</v>
      </c>
    </row>
    <row r="160" spans="1:5" ht="39" x14ac:dyDescent="0.25">
      <c r="A160" s="86" t="s">
        <v>262</v>
      </c>
      <c r="B160" s="86" t="s">
        <v>369</v>
      </c>
      <c r="C160" s="86" t="s">
        <v>120</v>
      </c>
      <c r="D160" s="86" t="s">
        <v>307</v>
      </c>
      <c r="E160" s="86" t="s">
        <v>263</v>
      </c>
    </row>
    <row r="161" spans="1:5" ht="51.75" x14ac:dyDescent="0.25">
      <c r="A161" s="86" t="s">
        <v>262</v>
      </c>
      <c r="B161" s="86" t="s">
        <v>369</v>
      </c>
      <c r="C161" s="86" t="s">
        <v>120</v>
      </c>
      <c r="D161" s="86" t="s">
        <v>301</v>
      </c>
      <c r="E161" s="86" t="s">
        <v>282</v>
      </c>
    </row>
    <row r="162" spans="1:5" ht="39" x14ac:dyDescent="0.25">
      <c r="A162" s="86" t="s">
        <v>262</v>
      </c>
      <c r="B162" s="86" t="s">
        <v>369</v>
      </c>
      <c r="C162" s="86" t="s">
        <v>120</v>
      </c>
      <c r="D162" s="86" t="s">
        <v>303</v>
      </c>
      <c r="E162" s="86" t="s">
        <v>263</v>
      </c>
    </row>
    <row r="163" spans="1:5" ht="51.75" x14ac:dyDescent="0.25">
      <c r="A163" s="86" t="s">
        <v>262</v>
      </c>
      <c r="B163" s="86" t="s">
        <v>369</v>
      </c>
      <c r="C163" s="86" t="s">
        <v>120</v>
      </c>
      <c r="D163" s="86" t="s">
        <v>302</v>
      </c>
      <c r="E163" s="86" t="s">
        <v>285</v>
      </c>
    </row>
    <row r="164" spans="1:5" ht="51.75" x14ac:dyDescent="0.25">
      <c r="A164" s="86" t="s">
        <v>262</v>
      </c>
      <c r="B164" s="86" t="s">
        <v>369</v>
      </c>
      <c r="C164" s="86" t="s">
        <v>120</v>
      </c>
      <c r="D164" s="86" t="s">
        <v>299</v>
      </c>
      <c r="E164" s="86" t="s">
        <v>275</v>
      </c>
    </row>
    <row r="165" spans="1:5" ht="51.75" x14ac:dyDescent="0.25">
      <c r="A165" s="86" t="s">
        <v>262</v>
      </c>
      <c r="B165" s="86" t="s">
        <v>369</v>
      </c>
      <c r="C165" s="86" t="s">
        <v>120</v>
      </c>
      <c r="D165" s="86" t="s">
        <v>304</v>
      </c>
      <c r="E165" s="86" t="s">
        <v>283</v>
      </c>
    </row>
    <row r="166" spans="1:5" ht="39" x14ac:dyDescent="0.25">
      <c r="A166" s="86" t="s">
        <v>262</v>
      </c>
      <c r="B166" s="86" t="s">
        <v>369</v>
      </c>
      <c r="C166" s="86" t="s">
        <v>120</v>
      </c>
      <c r="D166" s="86" t="s">
        <v>305</v>
      </c>
      <c r="E166" s="86" t="s">
        <v>278</v>
      </c>
    </row>
    <row r="167" spans="1:5" ht="39" x14ac:dyDescent="0.25">
      <c r="A167" s="86" t="s">
        <v>287</v>
      </c>
      <c r="B167" s="86" t="s">
        <v>164</v>
      </c>
      <c r="C167" s="86" t="s">
        <v>288</v>
      </c>
      <c r="D167" s="86" t="s">
        <v>399</v>
      </c>
      <c r="E167" s="86" t="s">
        <v>9</v>
      </c>
    </row>
    <row r="168" spans="1:5" ht="39" x14ac:dyDescent="0.25">
      <c r="A168" s="86" t="s">
        <v>287</v>
      </c>
      <c r="B168" s="86" t="s">
        <v>164</v>
      </c>
      <c r="C168" s="86" t="s">
        <v>288</v>
      </c>
      <c r="D168" s="86" t="s">
        <v>400</v>
      </c>
      <c r="E168" s="86" t="s">
        <v>9</v>
      </c>
    </row>
    <row r="169" spans="1:5" ht="51.75" x14ac:dyDescent="0.25">
      <c r="A169" s="86" t="s">
        <v>287</v>
      </c>
      <c r="B169" s="86" t="s">
        <v>164</v>
      </c>
      <c r="C169" s="86" t="s">
        <v>288</v>
      </c>
      <c r="D169" s="86" t="s">
        <v>401</v>
      </c>
      <c r="E169" s="86" t="s">
        <v>9</v>
      </c>
    </row>
    <row r="170" spans="1:5" ht="51.75" x14ac:dyDescent="0.25">
      <c r="A170" s="86" t="s">
        <v>287</v>
      </c>
      <c r="B170" s="86" t="s">
        <v>164</v>
      </c>
      <c r="C170" s="86" t="s">
        <v>288</v>
      </c>
      <c r="D170" s="86" t="s">
        <v>402</v>
      </c>
      <c r="E170" s="86" t="s">
        <v>9</v>
      </c>
    </row>
    <row r="171" spans="1:5" ht="39" x14ac:dyDescent="0.25">
      <c r="A171" s="86" t="s">
        <v>287</v>
      </c>
      <c r="B171" s="86" t="s">
        <v>164</v>
      </c>
      <c r="C171" s="86" t="s">
        <v>288</v>
      </c>
      <c r="D171" s="86" t="s">
        <v>403</v>
      </c>
      <c r="E171" s="86" t="s">
        <v>9</v>
      </c>
    </row>
    <row r="172" spans="1:5" ht="39" x14ac:dyDescent="0.25">
      <c r="A172" s="86" t="s">
        <v>287</v>
      </c>
      <c r="B172" s="86" t="s">
        <v>164</v>
      </c>
      <c r="C172" s="86" t="s">
        <v>288</v>
      </c>
      <c r="D172" s="86" t="s">
        <v>404</v>
      </c>
      <c r="E172" s="86" t="s">
        <v>9</v>
      </c>
    </row>
    <row r="173" spans="1:5" ht="39" x14ac:dyDescent="0.25">
      <c r="A173" s="86" t="s">
        <v>287</v>
      </c>
      <c r="B173" s="86" t="s">
        <v>164</v>
      </c>
      <c r="C173" s="86" t="s">
        <v>288</v>
      </c>
      <c r="D173" s="86" t="s">
        <v>405</v>
      </c>
      <c r="E173" s="86" t="s">
        <v>9</v>
      </c>
    </row>
    <row r="174" spans="1:5" ht="39" x14ac:dyDescent="0.25">
      <c r="A174" s="86" t="s">
        <v>287</v>
      </c>
      <c r="B174" s="86" t="s">
        <v>164</v>
      </c>
      <c r="C174" s="86" t="s">
        <v>288</v>
      </c>
      <c r="D174" s="86" t="s">
        <v>406</v>
      </c>
      <c r="E174" s="86" t="s">
        <v>9</v>
      </c>
    </row>
    <row r="175" spans="1:5" ht="39" x14ac:dyDescent="0.25">
      <c r="A175" s="86" t="s">
        <v>287</v>
      </c>
      <c r="B175" s="86" t="s">
        <v>164</v>
      </c>
      <c r="C175" s="86" t="s">
        <v>288</v>
      </c>
      <c r="D175" s="86" t="s">
        <v>407</v>
      </c>
      <c r="E175" s="86" t="s">
        <v>9</v>
      </c>
    </row>
    <row r="176" spans="1:5" ht="39" x14ac:dyDescent="0.25">
      <c r="A176" s="86" t="s">
        <v>287</v>
      </c>
      <c r="B176" s="86" t="s">
        <v>164</v>
      </c>
      <c r="C176" s="86" t="s">
        <v>288</v>
      </c>
      <c r="D176" s="86" t="s">
        <v>394</v>
      </c>
      <c r="E176" s="86" t="s">
        <v>9</v>
      </c>
    </row>
    <row r="177" spans="1:5" ht="39" x14ac:dyDescent="0.25">
      <c r="A177" s="86" t="s">
        <v>287</v>
      </c>
      <c r="B177" s="86" t="s">
        <v>164</v>
      </c>
      <c r="C177" s="86" t="s">
        <v>288</v>
      </c>
      <c r="D177" s="86" t="s">
        <v>300</v>
      </c>
      <c r="E177" s="86" t="s">
        <v>9</v>
      </c>
    </row>
    <row r="178" spans="1:5" ht="39" x14ac:dyDescent="0.25">
      <c r="A178" s="86" t="s">
        <v>287</v>
      </c>
      <c r="B178" s="86" t="s">
        <v>164</v>
      </c>
      <c r="C178" s="86" t="s">
        <v>288</v>
      </c>
      <c r="D178" s="86" t="s">
        <v>408</v>
      </c>
      <c r="E178" s="86" t="s">
        <v>9</v>
      </c>
    </row>
    <row r="179" spans="1:5" ht="39" x14ac:dyDescent="0.25">
      <c r="A179" s="86" t="s">
        <v>287</v>
      </c>
      <c r="B179" s="86" t="s">
        <v>164</v>
      </c>
      <c r="C179" s="86" t="s">
        <v>288</v>
      </c>
      <c r="D179" s="86" t="s">
        <v>409</v>
      </c>
      <c r="E179" s="86" t="s">
        <v>9</v>
      </c>
    </row>
    <row r="180" spans="1:5" ht="51.75" x14ac:dyDescent="0.25">
      <c r="A180" s="86" t="s">
        <v>287</v>
      </c>
      <c r="B180" s="86" t="s">
        <v>164</v>
      </c>
      <c r="C180" s="86" t="s">
        <v>288</v>
      </c>
      <c r="D180" s="86" t="s">
        <v>414</v>
      </c>
      <c r="E180" s="86" t="s">
        <v>9</v>
      </c>
    </row>
    <row r="181" spans="1:5" ht="51.75" x14ac:dyDescent="0.25">
      <c r="A181" s="86" t="s">
        <v>287</v>
      </c>
      <c r="B181" s="86" t="s">
        <v>164</v>
      </c>
      <c r="C181" s="86" t="s">
        <v>288</v>
      </c>
      <c r="D181" s="86" t="s">
        <v>416</v>
      </c>
      <c r="E181" s="86" t="s">
        <v>9</v>
      </c>
    </row>
    <row r="182" spans="1:5" ht="51.75" x14ac:dyDescent="0.25">
      <c r="A182" s="86" t="s">
        <v>287</v>
      </c>
      <c r="B182" s="86" t="s">
        <v>164</v>
      </c>
      <c r="C182" s="86" t="s">
        <v>288</v>
      </c>
      <c r="D182" s="86" t="s">
        <v>411</v>
      </c>
      <c r="E182" s="86" t="s">
        <v>9</v>
      </c>
    </row>
    <row r="183" spans="1:5" ht="51.75" x14ac:dyDescent="0.25">
      <c r="A183" s="86" t="s">
        <v>287</v>
      </c>
      <c r="B183" s="86" t="s">
        <v>164</v>
      </c>
      <c r="C183" s="86" t="s">
        <v>288</v>
      </c>
      <c r="D183" s="86" t="s">
        <v>412</v>
      </c>
      <c r="E183" s="86" t="s">
        <v>9</v>
      </c>
    </row>
    <row r="184" spans="1:5" ht="39" x14ac:dyDescent="0.25">
      <c r="A184" s="86" t="s">
        <v>287</v>
      </c>
      <c r="B184" s="86" t="s">
        <v>164</v>
      </c>
      <c r="C184" s="86" t="s">
        <v>288</v>
      </c>
      <c r="D184" s="86" t="s">
        <v>306</v>
      </c>
      <c r="E184" s="86" t="s">
        <v>9</v>
      </c>
    </row>
    <row r="185" spans="1:5" ht="39" x14ac:dyDescent="0.25">
      <c r="A185" s="86" t="s">
        <v>287</v>
      </c>
      <c r="B185" s="86" t="s">
        <v>164</v>
      </c>
      <c r="C185" s="86" t="s">
        <v>288</v>
      </c>
      <c r="D185" s="86" t="s">
        <v>419</v>
      </c>
      <c r="E185" s="86" t="s">
        <v>9</v>
      </c>
    </row>
    <row r="186" spans="1:5" ht="51.75" x14ac:dyDescent="0.25">
      <c r="A186" s="86" t="s">
        <v>287</v>
      </c>
      <c r="B186" s="86" t="s">
        <v>164</v>
      </c>
      <c r="C186" s="86" t="s">
        <v>288</v>
      </c>
      <c r="D186" s="86" t="s">
        <v>423</v>
      </c>
      <c r="E186" s="86" t="s">
        <v>9</v>
      </c>
    </row>
    <row r="187" spans="1:5" ht="51.75" x14ac:dyDescent="0.25">
      <c r="A187" s="86" t="s">
        <v>287</v>
      </c>
      <c r="B187" s="86" t="s">
        <v>164</v>
      </c>
      <c r="C187" s="86" t="s">
        <v>288</v>
      </c>
      <c r="D187" s="86" t="s">
        <v>425</v>
      </c>
      <c r="E187" s="86" t="s">
        <v>9</v>
      </c>
    </row>
    <row r="188" spans="1:5" ht="51.75" x14ac:dyDescent="0.25">
      <c r="A188" s="86" t="s">
        <v>287</v>
      </c>
      <c r="B188" s="86" t="s">
        <v>164</v>
      </c>
      <c r="C188" s="86" t="s">
        <v>288</v>
      </c>
      <c r="D188" s="86" t="s">
        <v>420</v>
      </c>
      <c r="E188" s="86" t="s">
        <v>9</v>
      </c>
    </row>
    <row r="189" spans="1:5" ht="51.75" x14ac:dyDescent="0.25">
      <c r="A189" s="86" t="s">
        <v>287</v>
      </c>
      <c r="B189" s="86" t="s">
        <v>164</v>
      </c>
      <c r="C189" s="86" t="s">
        <v>288</v>
      </c>
      <c r="D189" s="86" t="s">
        <v>421</v>
      </c>
      <c r="E189" s="86" t="s">
        <v>9</v>
      </c>
    </row>
    <row r="190" spans="1:5" ht="39" x14ac:dyDescent="0.25">
      <c r="A190" s="86" t="s">
        <v>287</v>
      </c>
      <c r="B190" s="86" t="s">
        <v>164</v>
      </c>
      <c r="C190" s="86" t="s">
        <v>288</v>
      </c>
      <c r="D190" s="86" t="s">
        <v>426</v>
      </c>
      <c r="E190" s="86" t="s">
        <v>9</v>
      </c>
    </row>
    <row r="191" spans="1:5" ht="39" x14ac:dyDescent="0.25">
      <c r="A191" s="86" t="s">
        <v>287</v>
      </c>
      <c r="B191" s="86" t="s">
        <v>164</v>
      </c>
      <c r="C191" s="86" t="s">
        <v>288</v>
      </c>
      <c r="D191" s="86" t="s">
        <v>417</v>
      </c>
      <c r="E191" s="86" t="s">
        <v>9</v>
      </c>
    </row>
    <row r="192" spans="1:5" ht="39" x14ac:dyDescent="0.25">
      <c r="A192" s="86" t="s">
        <v>287</v>
      </c>
      <c r="B192" s="86" t="s">
        <v>164</v>
      </c>
      <c r="C192" s="86" t="s">
        <v>288</v>
      </c>
      <c r="D192" s="86" t="s">
        <v>430</v>
      </c>
      <c r="E192" s="86" t="s">
        <v>9</v>
      </c>
    </row>
    <row r="193" spans="1:5" ht="51.75" x14ac:dyDescent="0.25">
      <c r="A193" s="86" t="s">
        <v>287</v>
      </c>
      <c r="B193" s="86" t="s">
        <v>164</v>
      </c>
      <c r="C193" s="86" t="s">
        <v>288</v>
      </c>
      <c r="D193" s="86" t="s">
        <v>432</v>
      </c>
      <c r="E193" s="86" t="s">
        <v>9</v>
      </c>
    </row>
    <row r="194" spans="1:5" ht="39" x14ac:dyDescent="0.25">
      <c r="A194" s="86" t="s">
        <v>287</v>
      </c>
      <c r="B194" s="86" t="s">
        <v>164</v>
      </c>
      <c r="C194" s="86" t="s">
        <v>288</v>
      </c>
      <c r="D194" s="86" t="s">
        <v>427</v>
      </c>
      <c r="E194" s="86" t="s">
        <v>9</v>
      </c>
    </row>
    <row r="195" spans="1:5" ht="51.75" x14ac:dyDescent="0.25">
      <c r="A195" s="86" t="s">
        <v>287</v>
      </c>
      <c r="B195" s="86" t="s">
        <v>164</v>
      </c>
      <c r="C195" s="86" t="s">
        <v>288</v>
      </c>
      <c r="D195" s="86" t="s">
        <v>428</v>
      </c>
      <c r="E195" s="86" t="s">
        <v>9</v>
      </c>
    </row>
    <row r="196" spans="1:5" ht="39" x14ac:dyDescent="0.25">
      <c r="A196" s="86" t="s">
        <v>287</v>
      </c>
      <c r="B196" s="86" t="s">
        <v>164</v>
      </c>
      <c r="C196" s="86" t="s">
        <v>288</v>
      </c>
      <c r="D196" s="86" t="s">
        <v>437</v>
      </c>
      <c r="E196" s="86" t="s">
        <v>9</v>
      </c>
    </row>
    <row r="197" spans="1:5" ht="39" x14ac:dyDescent="0.25">
      <c r="A197" s="86" t="s">
        <v>287</v>
      </c>
      <c r="B197" s="86" t="s">
        <v>164</v>
      </c>
      <c r="C197" s="86" t="s">
        <v>288</v>
      </c>
      <c r="D197" s="86" t="s">
        <v>438</v>
      </c>
      <c r="E197" s="86" t="s">
        <v>9</v>
      </c>
    </row>
    <row r="198" spans="1:5" ht="39" x14ac:dyDescent="0.25">
      <c r="A198" s="86" t="s">
        <v>287</v>
      </c>
      <c r="B198" s="86" t="s">
        <v>164</v>
      </c>
      <c r="C198" s="86" t="s">
        <v>288</v>
      </c>
      <c r="D198" s="86" t="s">
        <v>433</v>
      </c>
      <c r="E198" s="86" t="s">
        <v>9</v>
      </c>
    </row>
    <row r="199" spans="1:5" ht="39" x14ac:dyDescent="0.25">
      <c r="A199" s="86" t="s">
        <v>287</v>
      </c>
      <c r="B199" s="86" t="s">
        <v>164</v>
      </c>
      <c r="C199" s="86" t="s">
        <v>288</v>
      </c>
      <c r="D199" s="86" t="s">
        <v>435</v>
      </c>
      <c r="E199" s="86" t="s">
        <v>9</v>
      </c>
    </row>
    <row r="200" spans="1:5" ht="39" x14ac:dyDescent="0.25">
      <c r="A200" s="86" t="s">
        <v>290</v>
      </c>
      <c r="B200" s="86" t="s">
        <v>291</v>
      </c>
      <c r="C200" s="86" t="s">
        <v>288</v>
      </c>
      <c r="D200" s="86" t="s">
        <v>399</v>
      </c>
      <c r="E200" s="86" t="s">
        <v>9</v>
      </c>
    </row>
    <row r="201" spans="1:5" ht="39" x14ac:dyDescent="0.25">
      <c r="A201" s="86" t="s">
        <v>290</v>
      </c>
      <c r="B201" s="86" t="s">
        <v>291</v>
      </c>
      <c r="C201" s="86" t="s">
        <v>288</v>
      </c>
      <c r="D201" s="86" t="s">
        <v>400</v>
      </c>
      <c r="E201" s="86" t="s">
        <v>9</v>
      </c>
    </row>
    <row r="202" spans="1:5" ht="51.75" x14ac:dyDescent="0.25">
      <c r="A202" s="86" t="s">
        <v>290</v>
      </c>
      <c r="B202" s="86" t="s">
        <v>291</v>
      </c>
      <c r="C202" s="86" t="s">
        <v>288</v>
      </c>
      <c r="D202" s="86" t="s">
        <v>402</v>
      </c>
      <c r="E202" s="86" t="s">
        <v>9</v>
      </c>
    </row>
    <row r="203" spans="1:5" ht="51.75" x14ac:dyDescent="0.25">
      <c r="A203" s="86" t="s">
        <v>290</v>
      </c>
      <c r="B203" s="86" t="s">
        <v>291</v>
      </c>
      <c r="C203" s="86" t="s">
        <v>288</v>
      </c>
      <c r="D203" s="86" t="s">
        <v>401</v>
      </c>
      <c r="E203" s="86" t="s">
        <v>9</v>
      </c>
    </row>
    <row r="204" spans="1:5" ht="39" x14ac:dyDescent="0.25">
      <c r="A204" s="86" t="s">
        <v>290</v>
      </c>
      <c r="B204" s="86" t="s">
        <v>291</v>
      </c>
      <c r="C204" s="86" t="s">
        <v>288</v>
      </c>
      <c r="D204" s="86" t="s">
        <v>403</v>
      </c>
      <c r="E204" s="86" t="s">
        <v>9</v>
      </c>
    </row>
    <row r="205" spans="1:5" ht="39" x14ac:dyDescent="0.25">
      <c r="A205" s="86" t="s">
        <v>290</v>
      </c>
      <c r="B205" s="86" t="s">
        <v>291</v>
      </c>
      <c r="C205" s="86" t="s">
        <v>288</v>
      </c>
      <c r="D205" s="86" t="s">
        <v>404</v>
      </c>
      <c r="E205" s="86" t="s">
        <v>9</v>
      </c>
    </row>
    <row r="206" spans="1:5" ht="39" x14ac:dyDescent="0.25">
      <c r="A206" s="86" t="s">
        <v>290</v>
      </c>
      <c r="B206" s="86" t="s">
        <v>291</v>
      </c>
      <c r="C206" s="86" t="s">
        <v>288</v>
      </c>
      <c r="D206" s="86" t="s">
        <v>406</v>
      </c>
      <c r="E206" s="86" t="s">
        <v>9</v>
      </c>
    </row>
    <row r="207" spans="1:5" ht="39" x14ac:dyDescent="0.25">
      <c r="A207" s="86" t="s">
        <v>290</v>
      </c>
      <c r="B207" s="86" t="s">
        <v>291</v>
      </c>
      <c r="C207" s="86" t="s">
        <v>288</v>
      </c>
      <c r="D207" s="86" t="s">
        <v>405</v>
      </c>
      <c r="E207" s="86" t="s">
        <v>9</v>
      </c>
    </row>
    <row r="208" spans="1:5" ht="39" x14ac:dyDescent="0.25">
      <c r="A208" s="86" t="s">
        <v>290</v>
      </c>
      <c r="B208" s="86" t="s">
        <v>291</v>
      </c>
      <c r="C208" s="86" t="s">
        <v>288</v>
      </c>
      <c r="D208" s="86" t="s">
        <v>407</v>
      </c>
      <c r="E208" s="86" t="s">
        <v>9</v>
      </c>
    </row>
    <row r="209" spans="1:5" ht="39" x14ac:dyDescent="0.25">
      <c r="A209" s="86" t="s">
        <v>290</v>
      </c>
      <c r="B209" s="86" t="s">
        <v>291</v>
      </c>
      <c r="C209" s="86" t="s">
        <v>288</v>
      </c>
      <c r="D209" s="86" t="s">
        <v>394</v>
      </c>
      <c r="E209" s="86" t="s">
        <v>9</v>
      </c>
    </row>
    <row r="210" spans="1:5" ht="39" x14ac:dyDescent="0.25">
      <c r="A210" s="86" t="s">
        <v>290</v>
      </c>
      <c r="B210" s="86" t="s">
        <v>291</v>
      </c>
      <c r="C210" s="86" t="s">
        <v>288</v>
      </c>
      <c r="D210" s="86" t="s">
        <v>300</v>
      </c>
      <c r="E210" s="86" t="s">
        <v>9</v>
      </c>
    </row>
    <row r="211" spans="1:5" ht="39" x14ac:dyDescent="0.25">
      <c r="A211" s="86" t="s">
        <v>290</v>
      </c>
      <c r="B211" s="86" t="s">
        <v>291</v>
      </c>
      <c r="C211" s="86" t="s">
        <v>288</v>
      </c>
      <c r="D211" s="86" t="s">
        <v>306</v>
      </c>
      <c r="E211" s="86" t="s">
        <v>9</v>
      </c>
    </row>
    <row r="212" spans="1:5" ht="39" x14ac:dyDescent="0.25">
      <c r="A212" s="86" t="s">
        <v>290</v>
      </c>
      <c r="B212" s="86" t="s">
        <v>291</v>
      </c>
      <c r="C212" s="86" t="s">
        <v>288</v>
      </c>
      <c r="D212" s="86" t="s">
        <v>419</v>
      </c>
      <c r="E212" s="86" t="s">
        <v>9</v>
      </c>
    </row>
    <row r="213" spans="1:5" ht="51.75" x14ac:dyDescent="0.25">
      <c r="A213" s="86" t="s">
        <v>290</v>
      </c>
      <c r="B213" s="86" t="s">
        <v>291</v>
      </c>
      <c r="C213" s="86" t="s">
        <v>288</v>
      </c>
      <c r="D213" s="86" t="s">
        <v>423</v>
      </c>
      <c r="E213" s="86" t="s">
        <v>9</v>
      </c>
    </row>
    <row r="214" spans="1:5" ht="51.75" x14ac:dyDescent="0.25">
      <c r="A214" s="86" t="s">
        <v>290</v>
      </c>
      <c r="B214" s="86" t="s">
        <v>291</v>
      </c>
      <c r="C214" s="86" t="s">
        <v>288</v>
      </c>
      <c r="D214" s="86" t="s">
        <v>425</v>
      </c>
      <c r="E214" s="86" t="s">
        <v>9</v>
      </c>
    </row>
    <row r="215" spans="1:5" ht="51.75" x14ac:dyDescent="0.25">
      <c r="A215" s="86" t="s">
        <v>290</v>
      </c>
      <c r="B215" s="86" t="s">
        <v>291</v>
      </c>
      <c r="C215" s="86" t="s">
        <v>288</v>
      </c>
      <c r="D215" s="86" t="s">
        <v>420</v>
      </c>
      <c r="E215" s="86" t="s">
        <v>9</v>
      </c>
    </row>
    <row r="216" spans="1:5" ht="51.75" x14ac:dyDescent="0.25">
      <c r="A216" s="86" t="s">
        <v>290</v>
      </c>
      <c r="B216" s="86" t="s">
        <v>291</v>
      </c>
      <c r="C216" s="86" t="s">
        <v>288</v>
      </c>
      <c r="D216" s="86" t="s">
        <v>421</v>
      </c>
      <c r="E216" s="86" t="s">
        <v>9</v>
      </c>
    </row>
    <row r="217" spans="1:5" ht="39" x14ac:dyDescent="0.25">
      <c r="A217" s="86" t="s">
        <v>290</v>
      </c>
      <c r="B217" s="86" t="s">
        <v>291</v>
      </c>
      <c r="C217" s="86" t="s">
        <v>288</v>
      </c>
      <c r="D217" s="86" t="s">
        <v>408</v>
      </c>
      <c r="E217" s="86" t="s">
        <v>9</v>
      </c>
    </row>
    <row r="218" spans="1:5" ht="39" x14ac:dyDescent="0.25">
      <c r="A218" s="86" t="s">
        <v>290</v>
      </c>
      <c r="B218" s="86" t="s">
        <v>291</v>
      </c>
      <c r="C218" s="86" t="s">
        <v>288</v>
      </c>
      <c r="D218" s="86" t="s">
        <v>409</v>
      </c>
      <c r="E218" s="86" t="s">
        <v>9</v>
      </c>
    </row>
    <row r="219" spans="1:5" ht="51.75" x14ac:dyDescent="0.25">
      <c r="A219" s="86" t="s">
        <v>290</v>
      </c>
      <c r="B219" s="86" t="s">
        <v>291</v>
      </c>
      <c r="C219" s="86" t="s">
        <v>288</v>
      </c>
      <c r="D219" s="86" t="s">
        <v>414</v>
      </c>
      <c r="E219" s="86" t="s">
        <v>9</v>
      </c>
    </row>
    <row r="220" spans="1:5" ht="51.75" x14ac:dyDescent="0.25">
      <c r="A220" s="86" t="s">
        <v>290</v>
      </c>
      <c r="B220" s="86" t="s">
        <v>291</v>
      </c>
      <c r="C220" s="86" t="s">
        <v>288</v>
      </c>
      <c r="D220" s="86" t="s">
        <v>416</v>
      </c>
      <c r="E220" s="86" t="s">
        <v>9</v>
      </c>
    </row>
    <row r="221" spans="1:5" ht="51.75" x14ac:dyDescent="0.25">
      <c r="A221" s="86" t="s">
        <v>290</v>
      </c>
      <c r="B221" s="86" t="s">
        <v>291</v>
      </c>
      <c r="C221" s="86" t="s">
        <v>288</v>
      </c>
      <c r="D221" s="86" t="s">
        <v>411</v>
      </c>
      <c r="E221" s="86" t="s">
        <v>9</v>
      </c>
    </row>
    <row r="222" spans="1:5" ht="51.75" x14ac:dyDescent="0.25">
      <c r="A222" s="86" t="s">
        <v>290</v>
      </c>
      <c r="B222" s="86" t="s">
        <v>291</v>
      </c>
      <c r="C222" s="86" t="s">
        <v>288</v>
      </c>
      <c r="D222" s="86" t="s">
        <v>412</v>
      </c>
      <c r="E222" s="86" t="s">
        <v>9</v>
      </c>
    </row>
    <row r="223" spans="1:5" ht="39" x14ac:dyDescent="0.25">
      <c r="A223" s="86" t="s">
        <v>290</v>
      </c>
      <c r="B223" s="86" t="s">
        <v>291</v>
      </c>
      <c r="C223" s="86" t="s">
        <v>288</v>
      </c>
      <c r="D223" s="86" t="s">
        <v>426</v>
      </c>
      <c r="E223" s="86" t="s">
        <v>9</v>
      </c>
    </row>
    <row r="224" spans="1:5" ht="39" x14ac:dyDescent="0.25">
      <c r="A224" s="86" t="s">
        <v>290</v>
      </c>
      <c r="B224" s="86" t="s">
        <v>291</v>
      </c>
      <c r="C224" s="86" t="s">
        <v>288</v>
      </c>
      <c r="D224" s="86" t="s">
        <v>417</v>
      </c>
      <c r="E224" s="86" t="s">
        <v>9</v>
      </c>
    </row>
    <row r="225" spans="1:5" ht="39" x14ac:dyDescent="0.25">
      <c r="A225" s="86" t="s">
        <v>290</v>
      </c>
      <c r="B225" s="86" t="s">
        <v>291</v>
      </c>
      <c r="C225" s="86" t="s">
        <v>288</v>
      </c>
      <c r="D225" s="86" t="s">
        <v>430</v>
      </c>
      <c r="E225" s="86" t="s">
        <v>9</v>
      </c>
    </row>
    <row r="226" spans="1:5" ht="51.75" x14ac:dyDescent="0.25">
      <c r="A226" s="86" t="s">
        <v>290</v>
      </c>
      <c r="B226" s="86" t="s">
        <v>291</v>
      </c>
      <c r="C226" s="86" t="s">
        <v>288</v>
      </c>
      <c r="D226" s="86" t="s">
        <v>432</v>
      </c>
      <c r="E226" s="86" t="s">
        <v>9</v>
      </c>
    </row>
    <row r="227" spans="1:5" ht="39" x14ac:dyDescent="0.25">
      <c r="A227" s="86" t="s">
        <v>290</v>
      </c>
      <c r="B227" s="86" t="s">
        <v>291</v>
      </c>
      <c r="C227" s="86" t="s">
        <v>288</v>
      </c>
      <c r="D227" s="86" t="s">
        <v>427</v>
      </c>
      <c r="E227" s="86" t="s">
        <v>9</v>
      </c>
    </row>
    <row r="228" spans="1:5" ht="51.75" x14ac:dyDescent="0.25">
      <c r="A228" s="86" t="s">
        <v>290</v>
      </c>
      <c r="B228" s="86" t="s">
        <v>291</v>
      </c>
      <c r="C228" s="86" t="s">
        <v>288</v>
      </c>
      <c r="D228" s="86" t="s">
        <v>428</v>
      </c>
      <c r="E228" s="86" t="s">
        <v>9</v>
      </c>
    </row>
    <row r="229" spans="1:5" ht="39" x14ac:dyDescent="0.25">
      <c r="A229" s="86" t="s">
        <v>290</v>
      </c>
      <c r="B229" s="86" t="s">
        <v>291</v>
      </c>
      <c r="C229" s="86" t="s">
        <v>288</v>
      </c>
      <c r="D229" s="86" t="s">
        <v>437</v>
      </c>
      <c r="E229" s="86" t="s">
        <v>9</v>
      </c>
    </row>
    <row r="230" spans="1:5" ht="39" x14ac:dyDescent="0.25">
      <c r="A230" s="86" t="s">
        <v>290</v>
      </c>
      <c r="B230" s="86" t="s">
        <v>291</v>
      </c>
      <c r="C230" s="86" t="s">
        <v>288</v>
      </c>
      <c r="D230" s="86" t="s">
        <v>438</v>
      </c>
      <c r="E230" s="86" t="s">
        <v>9</v>
      </c>
    </row>
    <row r="231" spans="1:5" ht="39" x14ac:dyDescent="0.25">
      <c r="A231" s="86" t="s">
        <v>290</v>
      </c>
      <c r="B231" s="86" t="s">
        <v>291</v>
      </c>
      <c r="C231" s="86" t="s">
        <v>288</v>
      </c>
      <c r="D231" s="86" t="s">
        <v>433</v>
      </c>
      <c r="E231" s="86" t="s">
        <v>9</v>
      </c>
    </row>
    <row r="232" spans="1:5" ht="39" x14ac:dyDescent="0.25">
      <c r="A232" s="86" t="s">
        <v>290</v>
      </c>
      <c r="B232" s="86" t="s">
        <v>291</v>
      </c>
      <c r="C232" s="86" t="s">
        <v>288</v>
      </c>
      <c r="D232" s="86" t="s">
        <v>435</v>
      </c>
      <c r="E232" s="86" t="s">
        <v>9</v>
      </c>
    </row>
    <row r="233" spans="1:5" ht="39" x14ac:dyDescent="0.25">
      <c r="A233" s="86" t="s">
        <v>292</v>
      </c>
      <c r="B233" s="86" t="s">
        <v>371</v>
      </c>
      <c r="C233" s="86" t="s">
        <v>288</v>
      </c>
      <c r="D233" s="86" t="s">
        <v>399</v>
      </c>
      <c r="E233" s="86" t="s">
        <v>9</v>
      </c>
    </row>
    <row r="234" spans="1:5" ht="39" x14ac:dyDescent="0.25">
      <c r="A234" s="86" t="s">
        <v>292</v>
      </c>
      <c r="B234" s="86" t="s">
        <v>371</v>
      </c>
      <c r="C234" s="86" t="s">
        <v>288</v>
      </c>
      <c r="D234" s="86" t="s">
        <v>400</v>
      </c>
      <c r="E234" s="86" t="s">
        <v>9</v>
      </c>
    </row>
    <row r="235" spans="1:5" ht="51.75" x14ac:dyDescent="0.25">
      <c r="A235" s="86" t="s">
        <v>292</v>
      </c>
      <c r="B235" s="86" t="s">
        <v>371</v>
      </c>
      <c r="C235" s="86" t="s">
        <v>288</v>
      </c>
      <c r="D235" s="86" t="s">
        <v>402</v>
      </c>
      <c r="E235" s="86" t="s">
        <v>9</v>
      </c>
    </row>
    <row r="236" spans="1:5" ht="51.75" x14ac:dyDescent="0.25">
      <c r="A236" s="86" t="s">
        <v>292</v>
      </c>
      <c r="B236" s="86" t="s">
        <v>371</v>
      </c>
      <c r="C236" s="86" t="s">
        <v>288</v>
      </c>
      <c r="D236" s="86" t="s">
        <v>401</v>
      </c>
      <c r="E236" s="86" t="s">
        <v>9</v>
      </c>
    </row>
    <row r="237" spans="1:5" ht="39" x14ac:dyDescent="0.25">
      <c r="A237" s="86" t="s">
        <v>292</v>
      </c>
      <c r="B237" s="86" t="s">
        <v>371</v>
      </c>
      <c r="C237" s="86" t="s">
        <v>288</v>
      </c>
      <c r="D237" s="86" t="s">
        <v>403</v>
      </c>
      <c r="E237" s="86" t="s">
        <v>9</v>
      </c>
    </row>
    <row r="238" spans="1:5" ht="39" x14ac:dyDescent="0.25">
      <c r="A238" s="86" t="s">
        <v>292</v>
      </c>
      <c r="B238" s="86" t="s">
        <v>371</v>
      </c>
      <c r="C238" s="86" t="s">
        <v>288</v>
      </c>
      <c r="D238" s="86" t="s">
        <v>404</v>
      </c>
      <c r="E238" s="86" t="s">
        <v>9</v>
      </c>
    </row>
    <row r="239" spans="1:5" ht="39" x14ac:dyDescent="0.25">
      <c r="A239" s="86" t="s">
        <v>292</v>
      </c>
      <c r="B239" s="86" t="s">
        <v>371</v>
      </c>
      <c r="C239" s="86" t="s">
        <v>288</v>
      </c>
      <c r="D239" s="86" t="s">
        <v>406</v>
      </c>
      <c r="E239" s="86" t="s">
        <v>9</v>
      </c>
    </row>
    <row r="240" spans="1:5" ht="39" x14ac:dyDescent="0.25">
      <c r="A240" s="86" t="s">
        <v>292</v>
      </c>
      <c r="B240" s="86" t="s">
        <v>371</v>
      </c>
      <c r="C240" s="86" t="s">
        <v>288</v>
      </c>
      <c r="D240" s="86" t="s">
        <v>405</v>
      </c>
      <c r="E240" s="86" t="s">
        <v>9</v>
      </c>
    </row>
    <row r="241" spans="1:5" ht="39" x14ac:dyDescent="0.25">
      <c r="A241" s="86" t="s">
        <v>292</v>
      </c>
      <c r="B241" s="86" t="s">
        <v>371</v>
      </c>
      <c r="C241" s="86" t="s">
        <v>288</v>
      </c>
      <c r="D241" s="86" t="s">
        <v>407</v>
      </c>
      <c r="E241" s="86" t="s">
        <v>9</v>
      </c>
    </row>
    <row r="242" spans="1:5" ht="39" x14ac:dyDescent="0.25">
      <c r="A242" s="86" t="s">
        <v>292</v>
      </c>
      <c r="B242" s="86" t="s">
        <v>371</v>
      </c>
      <c r="C242" s="86" t="s">
        <v>288</v>
      </c>
      <c r="D242" s="86" t="s">
        <v>394</v>
      </c>
      <c r="E242" s="86" t="s">
        <v>9</v>
      </c>
    </row>
    <row r="243" spans="1:5" ht="39" x14ac:dyDescent="0.25">
      <c r="A243" s="86" t="s">
        <v>292</v>
      </c>
      <c r="B243" s="86" t="s">
        <v>371</v>
      </c>
      <c r="C243" s="86" t="s">
        <v>288</v>
      </c>
      <c r="D243" s="86" t="s">
        <v>437</v>
      </c>
      <c r="E243" s="86" t="s">
        <v>9</v>
      </c>
    </row>
    <row r="244" spans="1:5" ht="51.75" x14ac:dyDescent="0.25">
      <c r="A244" s="86" t="s">
        <v>292</v>
      </c>
      <c r="B244" s="86" t="s">
        <v>371</v>
      </c>
      <c r="C244" s="86" t="s">
        <v>288</v>
      </c>
      <c r="D244" s="86" t="s">
        <v>428</v>
      </c>
      <c r="E244" s="86" t="s">
        <v>9</v>
      </c>
    </row>
    <row r="245" spans="1:5" ht="51.75" x14ac:dyDescent="0.25">
      <c r="A245" s="86" t="s">
        <v>292</v>
      </c>
      <c r="B245" s="86" t="s">
        <v>371</v>
      </c>
      <c r="C245" s="86" t="s">
        <v>288</v>
      </c>
      <c r="D245" s="86" t="s">
        <v>412</v>
      </c>
      <c r="E245" s="86" t="s">
        <v>9</v>
      </c>
    </row>
    <row r="246" spans="1:5" ht="51.75" x14ac:dyDescent="0.25">
      <c r="A246" s="86" t="s">
        <v>292</v>
      </c>
      <c r="B246" s="86" t="s">
        <v>371</v>
      </c>
      <c r="C246" s="86" t="s">
        <v>288</v>
      </c>
      <c r="D246" s="86" t="s">
        <v>421</v>
      </c>
      <c r="E246" s="86" t="s">
        <v>9</v>
      </c>
    </row>
    <row r="247" spans="1:5" ht="39" x14ac:dyDescent="0.25">
      <c r="A247" s="86" t="s">
        <v>292</v>
      </c>
      <c r="B247" s="86" t="s">
        <v>371</v>
      </c>
      <c r="C247" s="86" t="s">
        <v>288</v>
      </c>
      <c r="D247" s="86" t="s">
        <v>438</v>
      </c>
      <c r="E247" s="86" t="s">
        <v>9</v>
      </c>
    </row>
    <row r="248" spans="1:5" ht="39" x14ac:dyDescent="0.25">
      <c r="A248" s="86" t="s">
        <v>292</v>
      </c>
      <c r="B248" s="86" t="s">
        <v>371</v>
      </c>
      <c r="C248" s="86" t="s">
        <v>288</v>
      </c>
      <c r="D248" s="86" t="s">
        <v>427</v>
      </c>
      <c r="E248" s="86" t="s">
        <v>9</v>
      </c>
    </row>
    <row r="249" spans="1:5" ht="51.75" x14ac:dyDescent="0.25">
      <c r="A249" s="86" t="s">
        <v>292</v>
      </c>
      <c r="B249" s="86" t="s">
        <v>371</v>
      </c>
      <c r="C249" s="86" t="s">
        <v>288</v>
      </c>
      <c r="D249" s="86" t="s">
        <v>411</v>
      </c>
      <c r="E249" s="86" t="s">
        <v>9</v>
      </c>
    </row>
    <row r="250" spans="1:5" ht="51.75" x14ac:dyDescent="0.25">
      <c r="A250" s="86" t="s">
        <v>292</v>
      </c>
      <c r="B250" s="86" t="s">
        <v>371</v>
      </c>
      <c r="C250" s="86" t="s">
        <v>288</v>
      </c>
      <c r="D250" s="86" t="s">
        <v>420</v>
      </c>
      <c r="E250" s="86" t="s">
        <v>9</v>
      </c>
    </row>
    <row r="251" spans="1:5" ht="39" x14ac:dyDescent="0.25">
      <c r="A251" s="86" t="s">
        <v>292</v>
      </c>
      <c r="B251" s="86" t="s">
        <v>371</v>
      </c>
      <c r="C251" s="86" t="s">
        <v>288</v>
      </c>
      <c r="D251" s="86" t="s">
        <v>433</v>
      </c>
      <c r="E251" s="86" t="s">
        <v>9</v>
      </c>
    </row>
    <row r="252" spans="1:5" ht="51.75" x14ac:dyDescent="0.25">
      <c r="A252" s="86" t="s">
        <v>292</v>
      </c>
      <c r="B252" s="86" t="s">
        <v>371</v>
      </c>
      <c r="C252" s="86" t="s">
        <v>288</v>
      </c>
      <c r="D252" s="86" t="s">
        <v>432</v>
      </c>
      <c r="E252" s="86" t="s">
        <v>9</v>
      </c>
    </row>
    <row r="253" spans="1:5" ht="51.75" x14ac:dyDescent="0.25">
      <c r="A253" s="86" t="s">
        <v>292</v>
      </c>
      <c r="B253" s="86" t="s">
        <v>371</v>
      </c>
      <c r="C253" s="86" t="s">
        <v>288</v>
      </c>
      <c r="D253" s="86" t="s">
        <v>416</v>
      </c>
      <c r="E253" s="86" t="s">
        <v>9</v>
      </c>
    </row>
    <row r="254" spans="1:5" ht="51.75" x14ac:dyDescent="0.25">
      <c r="A254" s="86" t="s">
        <v>292</v>
      </c>
      <c r="B254" s="86" t="s">
        <v>371</v>
      </c>
      <c r="C254" s="86" t="s">
        <v>288</v>
      </c>
      <c r="D254" s="86" t="s">
        <v>425</v>
      </c>
      <c r="E254" s="86" t="s">
        <v>9</v>
      </c>
    </row>
    <row r="255" spans="1:5" ht="39" x14ac:dyDescent="0.25">
      <c r="A255" s="86" t="s">
        <v>292</v>
      </c>
      <c r="B255" s="86" t="s">
        <v>371</v>
      </c>
      <c r="C255" s="86" t="s">
        <v>288</v>
      </c>
      <c r="D255" s="86" t="s">
        <v>435</v>
      </c>
      <c r="E255" s="86" t="s">
        <v>9</v>
      </c>
    </row>
    <row r="256" spans="1:5" ht="39" x14ac:dyDescent="0.25">
      <c r="A256" s="86" t="s">
        <v>292</v>
      </c>
      <c r="B256" s="86" t="s">
        <v>371</v>
      </c>
      <c r="C256" s="86" t="s">
        <v>288</v>
      </c>
      <c r="D256" s="86" t="s">
        <v>430</v>
      </c>
      <c r="E256" s="86" t="s">
        <v>9</v>
      </c>
    </row>
    <row r="257" spans="1:5" ht="51.75" x14ac:dyDescent="0.25">
      <c r="A257" s="86" t="s">
        <v>292</v>
      </c>
      <c r="B257" s="86" t="s">
        <v>371</v>
      </c>
      <c r="C257" s="86" t="s">
        <v>288</v>
      </c>
      <c r="D257" s="86" t="s">
        <v>414</v>
      </c>
      <c r="E257" s="86" t="s">
        <v>9</v>
      </c>
    </row>
    <row r="258" spans="1:5" ht="51.75" x14ac:dyDescent="0.25">
      <c r="A258" s="86" t="s">
        <v>292</v>
      </c>
      <c r="B258" s="86" t="s">
        <v>371</v>
      </c>
      <c r="C258" s="86" t="s">
        <v>288</v>
      </c>
      <c r="D258" s="86" t="s">
        <v>423</v>
      </c>
      <c r="E258" s="86" t="s">
        <v>9</v>
      </c>
    </row>
    <row r="259" spans="1:5" ht="39" x14ac:dyDescent="0.25">
      <c r="A259" s="86" t="s">
        <v>292</v>
      </c>
      <c r="B259" s="86" t="s">
        <v>371</v>
      </c>
      <c r="C259" s="86" t="s">
        <v>288</v>
      </c>
      <c r="D259" s="86" t="s">
        <v>300</v>
      </c>
      <c r="E259" s="86" t="s">
        <v>9</v>
      </c>
    </row>
    <row r="260" spans="1:5" ht="39" x14ac:dyDescent="0.25">
      <c r="A260" s="86" t="s">
        <v>292</v>
      </c>
      <c r="B260" s="86" t="s">
        <v>371</v>
      </c>
      <c r="C260" s="86" t="s">
        <v>288</v>
      </c>
      <c r="D260" s="86" t="s">
        <v>306</v>
      </c>
      <c r="E260" s="86" t="s">
        <v>9</v>
      </c>
    </row>
    <row r="261" spans="1:5" ht="39" x14ac:dyDescent="0.25">
      <c r="A261" s="86" t="s">
        <v>292</v>
      </c>
      <c r="B261" s="86" t="s">
        <v>371</v>
      </c>
      <c r="C261" s="86" t="s">
        <v>288</v>
      </c>
      <c r="D261" s="86" t="s">
        <v>419</v>
      </c>
      <c r="E261" s="86" t="s">
        <v>9</v>
      </c>
    </row>
    <row r="262" spans="1:5" ht="39" x14ac:dyDescent="0.25">
      <c r="A262" s="86" t="s">
        <v>292</v>
      </c>
      <c r="B262" s="86" t="s">
        <v>371</v>
      </c>
      <c r="C262" s="86" t="s">
        <v>288</v>
      </c>
      <c r="D262" s="86" t="s">
        <v>408</v>
      </c>
      <c r="E262" s="86" t="s">
        <v>9</v>
      </c>
    </row>
    <row r="263" spans="1:5" ht="39" x14ac:dyDescent="0.25">
      <c r="A263" s="86" t="s">
        <v>292</v>
      </c>
      <c r="B263" s="86" t="s">
        <v>371</v>
      </c>
      <c r="C263" s="86" t="s">
        <v>288</v>
      </c>
      <c r="D263" s="86" t="s">
        <v>409</v>
      </c>
      <c r="E263" s="86" t="s">
        <v>9</v>
      </c>
    </row>
    <row r="264" spans="1:5" ht="39" x14ac:dyDescent="0.25">
      <c r="A264" s="86" t="s">
        <v>292</v>
      </c>
      <c r="B264" s="86" t="s">
        <v>371</v>
      </c>
      <c r="C264" s="86" t="s">
        <v>288</v>
      </c>
      <c r="D264" s="86" t="s">
        <v>426</v>
      </c>
      <c r="E264" s="86" t="s">
        <v>9</v>
      </c>
    </row>
    <row r="265" spans="1:5" ht="39" x14ac:dyDescent="0.25">
      <c r="A265" s="86" t="s">
        <v>292</v>
      </c>
      <c r="B265" s="86" t="s">
        <v>371</v>
      </c>
      <c r="C265" s="86" t="s">
        <v>288</v>
      </c>
      <c r="D265" s="86" t="s">
        <v>417</v>
      </c>
      <c r="E265" s="86" t="s">
        <v>9</v>
      </c>
    </row>
    <row r="266" spans="1:5" ht="39" x14ac:dyDescent="0.25">
      <c r="A266" s="86" t="s">
        <v>293</v>
      </c>
      <c r="B266" s="86" t="s">
        <v>294</v>
      </c>
      <c r="C266" s="86" t="s">
        <v>288</v>
      </c>
      <c r="D266" s="86" t="s">
        <v>399</v>
      </c>
      <c r="E266" s="86" t="s">
        <v>9</v>
      </c>
    </row>
    <row r="267" spans="1:5" ht="39" x14ac:dyDescent="0.25">
      <c r="A267" s="86" t="s">
        <v>293</v>
      </c>
      <c r="B267" s="86" t="s">
        <v>294</v>
      </c>
      <c r="C267" s="86" t="s">
        <v>288</v>
      </c>
      <c r="D267" s="86" t="s">
        <v>400</v>
      </c>
      <c r="E267" s="86" t="s">
        <v>9</v>
      </c>
    </row>
    <row r="268" spans="1:5" ht="51.75" x14ac:dyDescent="0.25">
      <c r="A268" s="86" t="s">
        <v>293</v>
      </c>
      <c r="B268" s="86" t="s">
        <v>294</v>
      </c>
      <c r="C268" s="86" t="s">
        <v>288</v>
      </c>
      <c r="D268" s="86" t="s">
        <v>401</v>
      </c>
      <c r="E268" s="86" t="s">
        <v>9</v>
      </c>
    </row>
    <row r="269" spans="1:5" ht="51.75" x14ac:dyDescent="0.25">
      <c r="A269" s="86" t="s">
        <v>293</v>
      </c>
      <c r="B269" s="86" t="s">
        <v>294</v>
      </c>
      <c r="C269" s="86" t="s">
        <v>288</v>
      </c>
      <c r="D269" s="86" t="s">
        <v>402</v>
      </c>
      <c r="E269" s="86" t="s">
        <v>9</v>
      </c>
    </row>
    <row r="270" spans="1:5" ht="39" x14ac:dyDescent="0.25">
      <c r="A270" s="86" t="s">
        <v>293</v>
      </c>
      <c r="B270" s="86" t="s">
        <v>294</v>
      </c>
      <c r="C270" s="86" t="s">
        <v>288</v>
      </c>
      <c r="D270" s="86" t="s">
        <v>403</v>
      </c>
      <c r="E270" s="86" t="s">
        <v>9</v>
      </c>
    </row>
    <row r="271" spans="1:5" ht="39" x14ac:dyDescent="0.25">
      <c r="A271" s="86" t="s">
        <v>293</v>
      </c>
      <c r="B271" s="86" t="s">
        <v>294</v>
      </c>
      <c r="C271" s="86" t="s">
        <v>288</v>
      </c>
      <c r="D271" s="86" t="s">
        <v>404</v>
      </c>
      <c r="E271" s="86" t="s">
        <v>9</v>
      </c>
    </row>
    <row r="272" spans="1:5" ht="39" x14ac:dyDescent="0.25">
      <c r="A272" s="86" t="s">
        <v>293</v>
      </c>
      <c r="B272" s="86" t="s">
        <v>294</v>
      </c>
      <c r="C272" s="86" t="s">
        <v>288</v>
      </c>
      <c r="D272" s="86" t="s">
        <v>405</v>
      </c>
      <c r="E272" s="86" t="s">
        <v>9</v>
      </c>
    </row>
    <row r="273" spans="1:5" ht="39" x14ac:dyDescent="0.25">
      <c r="A273" s="86" t="s">
        <v>293</v>
      </c>
      <c r="B273" s="86" t="s">
        <v>294</v>
      </c>
      <c r="C273" s="86" t="s">
        <v>288</v>
      </c>
      <c r="D273" s="86" t="s">
        <v>406</v>
      </c>
      <c r="E273" s="86" t="s">
        <v>9</v>
      </c>
    </row>
    <row r="274" spans="1:5" ht="39" x14ac:dyDescent="0.25">
      <c r="A274" s="86" t="s">
        <v>293</v>
      </c>
      <c r="B274" s="86" t="s">
        <v>294</v>
      </c>
      <c r="C274" s="86" t="s">
        <v>288</v>
      </c>
      <c r="D274" s="86" t="s">
        <v>407</v>
      </c>
      <c r="E274" s="86" t="s">
        <v>9</v>
      </c>
    </row>
    <row r="275" spans="1:5" ht="39" x14ac:dyDescent="0.25">
      <c r="A275" s="86" t="s">
        <v>293</v>
      </c>
      <c r="B275" s="86" t="s">
        <v>294</v>
      </c>
      <c r="C275" s="86" t="s">
        <v>288</v>
      </c>
      <c r="D275" s="86" t="s">
        <v>394</v>
      </c>
      <c r="E275" s="86" t="s">
        <v>9</v>
      </c>
    </row>
    <row r="276" spans="1:5" ht="39" x14ac:dyDescent="0.25">
      <c r="A276" s="86" t="s">
        <v>293</v>
      </c>
      <c r="B276" s="86" t="s">
        <v>294</v>
      </c>
      <c r="C276" s="86" t="s">
        <v>288</v>
      </c>
      <c r="D276" s="86" t="s">
        <v>437</v>
      </c>
      <c r="E276" s="86" t="s">
        <v>9</v>
      </c>
    </row>
    <row r="277" spans="1:5" ht="51.75" x14ac:dyDescent="0.25">
      <c r="A277" s="86" t="s">
        <v>293</v>
      </c>
      <c r="B277" s="86" t="s">
        <v>294</v>
      </c>
      <c r="C277" s="86" t="s">
        <v>288</v>
      </c>
      <c r="D277" s="86" t="s">
        <v>428</v>
      </c>
      <c r="E277" s="86" t="s">
        <v>9</v>
      </c>
    </row>
    <row r="278" spans="1:5" ht="51.75" x14ac:dyDescent="0.25">
      <c r="A278" s="86" t="s">
        <v>293</v>
      </c>
      <c r="B278" s="86" t="s">
        <v>294</v>
      </c>
      <c r="C278" s="86" t="s">
        <v>288</v>
      </c>
      <c r="D278" s="86" t="s">
        <v>421</v>
      </c>
      <c r="E278" s="86" t="s">
        <v>9</v>
      </c>
    </row>
    <row r="279" spans="1:5" ht="51.75" x14ac:dyDescent="0.25">
      <c r="A279" s="86" t="s">
        <v>293</v>
      </c>
      <c r="B279" s="86" t="s">
        <v>294</v>
      </c>
      <c r="C279" s="86" t="s">
        <v>288</v>
      </c>
      <c r="D279" s="86" t="s">
        <v>412</v>
      </c>
      <c r="E279" s="86" t="s">
        <v>9</v>
      </c>
    </row>
    <row r="280" spans="1:5" ht="39" x14ac:dyDescent="0.25">
      <c r="A280" s="86" t="s">
        <v>293</v>
      </c>
      <c r="B280" s="86" t="s">
        <v>294</v>
      </c>
      <c r="C280" s="86" t="s">
        <v>288</v>
      </c>
      <c r="D280" s="86" t="s">
        <v>438</v>
      </c>
      <c r="E280" s="86" t="s">
        <v>9</v>
      </c>
    </row>
    <row r="281" spans="1:5" ht="39" x14ac:dyDescent="0.25">
      <c r="A281" s="86" t="s">
        <v>293</v>
      </c>
      <c r="B281" s="86" t="s">
        <v>294</v>
      </c>
      <c r="C281" s="86" t="s">
        <v>288</v>
      </c>
      <c r="D281" s="86" t="s">
        <v>427</v>
      </c>
      <c r="E281" s="86" t="s">
        <v>9</v>
      </c>
    </row>
    <row r="282" spans="1:5" ht="51.75" x14ac:dyDescent="0.25">
      <c r="A282" s="86" t="s">
        <v>293</v>
      </c>
      <c r="B282" s="86" t="s">
        <v>294</v>
      </c>
      <c r="C282" s="86" t="s">
        <v>288</v>
      </c>
      <c r="D282" s="86" t="s">
        <v>420</v>
      </c>
      <c r="E282" s="86" t="s">
        <v>9</v>
      </c>
    </row>
    <row r="283" spans="1:5" ht="51.75" x14ac:dyDescent="0.25">
      <c r="A283" s="86" t="s">
        <v>293</v>
      </c>
      <c r="B283" s="86" t="s">
        <v>294</v>
      </c>
      <c r="C283" s="86" t="s">
        <v>288</v>
      </c>
      <c r="D283" s="86" t="s">
        <v>411</v>
      </c>
      <c r="E283" s="86" t="s">
        <v>9</v>
      </c>
    </row>
    <row r="284" spans="1:5" ht="39" x14ac:dyDescent="0.25">
      <c r="A284" s="86" t="s">
        <v>293</v>
      </c>
      <c r="B284" s="86" t="s">
        <v>294</v>
      </c>
      <c r="C284" s="86" t="s">
        <v>288</v>
      </c>
      <c r="D284" s="86" t="s">
        <v>300</v>
      </c>
      <c r="E284" s="86" t="s">
        <v>9</v>
      </c>
    </row>
    <row r="285" spans="1:5" ht="39" x14ac:dyDescent="0.25">
      <c r="A285" s="86" t="s">
        <v>293</v>
      </c>
      <c r="B285" s="86" t="s">
        <v>294</v>
      </c>
      <c r="C285" s="86" t="s">
        <v>288</v>
      </c>
      <c r="D285" s="86" t="s">
        <v>408</v>
      </c>
      <c r="E285" s="86" t="s">
        <v>9</v>
      </c>
    </row>
    <row r="286" spans="1:5" ht="39" x14ac:dyDescent="0.25">
      <c r="A286" s="86" t="s">
        <v>293</v>
      </c>
      <c r="B286" s="86" t="s">
        <v>294</v>
      </c>
      <c r="C286" s="86" t="s">
        <v>288</v>
      </c>
      <c r="D286" s="86" t="s">
        <v>409</v>
      </c>
      <c r="E286" s="86" t="s">
        <v>9</v>
      </c>
    </row>
    <row r="287" spans="1:5" ht="51.75" x14ac:dyDescent="0.25">
      <c r="A287" s="86" t="s">
        <v>293</v>
      </c>
      <c r="B287" s="86" t="s">
        <v>294</v>
      </c>
      <c r="C287" s="86" t="s">
        <v>288</v>
      </c>
      <c r="D287" s="86" t="s">
        <v>414</v>
      </c>
      <c r="E287" s="86" t="s">
        <v>9</v>
      </c>
    </row>
    <row r="288" spans="1:5" ht="51.75" x14ac:dyDescent="0.25">
      <c r="A288" s="86" t="s">
        <v>293</v>
      </c>
      <c r="B288" s="86" t="s">
        <v>294</v>
      </c>
      <c r="C288" s="86" t="s">
        <v>288</v>
      </c>
      <c r="D288" s="86" t="s">
        <v>416</v>
      </c>
      <c r="E288" s="86" t="s">
        <v>9</v>
      </c>
    </row>
    <row r="289" spans="1:5" ht="39" x14ac:dyDescent="0.25">
      <c r="A289" s="86" t="s">
        <v>293</v>
      </c>
      <c r="B289" s="86" t="s">
        <v>294</v>
      </c>
      <c r="C289" s="86" t="s">
        <v>288</v>
      </c>
      <c r="D289" s="86" t="s">
        <v>306</v>
      </c>
      <c r="E289" s="86" t="s">
        <v>9</v>
      </c>
    </row>
    <row r="290" spans="1:5" ht="39" x14ac:dyDescent="0.25">
      <c r="A290" s="86" t="s">
        <v>293</v>
      </c>
      <c r="B290" s="86" t="s">
        <v>294</v>
      </c>
      <c r="C290" s="86" t="s">
        <v>288</v>
      </c>
      <c r="D290" s="86" t="s">
        <v>419</v>
      </c>
      <c r="E290" s="86" t="s">
        <v>9</v>
      </c>
    </row>
    <row r="291" spans="1:5" ht="51.75" x14ac:dyDescent="0.25">
      <c r="A291" s="86" t="s">
        <v>293</v>
      </c>
      <c r="B291" s="86" t="s">
        <v>294</v>
      </c>
      <c r="C291" s="86" t="s">
        <v>288</v>
      </c>
      <c r="D291" s="86" t="s">
        <v>423</v>
      </c>
      <c r="E291" s="86" t="s">
        <v>9</v>
      </c>
    </row>
    <row r="292" spans="1:5" ht="51.75" x14ac:dyDescent="0.25">
      <c r="A292" s="86" t="s">
        <v>293</v>
      </c>
      <c r="B292" s="86" t="s">
        <v>294</v>
      </c>
      <c r="C292" s="86" t="s">
        <v>288</v>
      </c>
      <c r="D292" s="86" t="s">
        <v>425</v>
      </c>
      <c r="E292" s="86" t="s">
        <v>9</v>
      </c>
    </row>
    <row r="293" spans="1:5" ht="39" x14ac:dyDescent="0.25">
      <c r="A293" s="86" t="s">
        <v>293</v>
      </c>
      <c r="B293" s="86" t="s">
        <v>294</v>
      </c>
      <c r="C293" s="86" t="s">
        <v>288</v>
      </c>
      <c r="D293" s="86" t="s">
        <v>426</v>
      </c>
      <c r="E293" s="86" t="s">
        <v>9</v>
      </c>
    </row>
    <row r="294" spans="1:5" ht="39" x14ac:dyDescent="0.25">
      <c r="A294" s="86" t="s">
        <v>293</v>
      </c>
      <c r="B294" s="86" t="s">
        <v>294</v>
      </c>
      <c r="C294" s="86" t="s">
        <v>288</v>
      </c>
      <c r="D294" s="86" t="s">
        <v>417</v>
      </c>
      <c r="E294" s="86" t="s">
        <v>9</v>
      </c>
    </row>
    <row r="295" spans="1:5" ht="39" x14ac:dyDescent="0.25">
      <c r="A295" s="86" t="s">
        <v>293</v>
      </c>
      <c r="B295" s="86" t="s">
        <v>294</v>
      </c>
      <c r="C295" s="86" t="s">
        <v>288</v>
      </c>
      <c r="D295" s="86" t="s">
        <v>430</v>
      </c>
      <c r="E295" s="86" t="s">
        <v>9</v>
      </c>
    </row>
    <row r="296" spans="1:5" ht="51.75" x14ac:dyDescent="0.25">
      <c r="A296" s="86" t="s">
        <v>293</v>
      </c>
      <c r="B296" s="86" t="s">
        <v>294</v>
      </c>
      <c r="C296" s="86" t="s">
        <v>288</v>
      </c>
      <c r="D296" s="86" t="s">
        <v>432</v>
      </c>
      <c r="E296" s="86" t="s">
        <v>9</v>
      </c>
    </row>
    <row r="297" spans="1:5" ht="39" x14ac:dyDescent="0.25">
      <c r="A297" s="86" t="s">
        <v>293</v>
      </c>
      <c r="B297" s="86" t="s">
        <v>294</v>
      </c>
      <c r="C297" s="86" t="s">
        <v>288</v>
      </c>
      <c r="D297" s="86" t="s">
        <v>433</v>
      </c>
      <c r="E297" s="86" t="s">
        <v>9</v>
      </c>
    </row>
    <row r="298" spans="1:5" ht="39" x14ac:dyDescent="0.25">
      <c r="A298" s="86" t="s">
        <v>293</v>
      </c>
      <c r="B298" s="86" t="s">
        <v>294</v>
      </c>
      <c r="C298" s="86" t="s">
        <v>288</v>
      </c>
      <c r="D298" s="86" t="s">
        <v>435</v>
      </c>
      <c r="E298" s="86" t="s">
        <v>9</v>
      </c>
    </row>
    <row r="299" spans="1:5" ht="39" x14ac:dyDescent="0.25">
      <c r="A299" s="86" t="s">
        <v>295</v>
      </c>
      <c r="B299" s="86" t="s">
        <v>296</v>
      </c>
      <c r="C299" s="86" t="s">
        <v>288</v>
      </c>
      <c r="D299" s="86" t="s">
        <v>399</v>
      </c>
      <c r="E299" s="86" t="s">
        <v>9</v>
      </c>
    </row>
    <row r="300" spans="1:5" ht="39" x14ac:dyDescent="0.25">
      <c r="A300" s="86" t="s">
        <v>295</v>
      </c>
      <c r="B300" s="86" t="s">
        <v>296</v>
      </c>
      <c r="C300" s="86" t="s">
        <v>288</v>
      </c>
      <c r="D300" s="86" t="s">
        <v>400</v>
      </c>
      <c r="E300" s="86" t="s">
        <v>9</v>
      </c>
    </row>
    <row r="301" spans="1:5" ht="51.75" x14ac:dyDescent="0.25">
      <c r="A301" s="86" t="s">
        <v>295</v>
      </c>
      <c r="B301" s="86" t="s">
        <v>296</v>
      </c>
      <c r="C301" s="86" t="s">
        <v>288</v>
      </c>
      <c r="D301" s="86" t="s">
        <v>401</v>
      </c>
      <c r="E301" s="86" t="s">
        <v>9</v>
      </c>
    </row>
    <row r="302" spans="1:5" ht="51.75" x14ac:dyDescent="0.25">
      <c r="A302" s="86" t="s">
        <v>295</v>
      </c>
      <c r="B302" s="86" t="s">
        <v>296</v>
      </c>
      <c r="C302" s="86" t="s">
        <v>288</v>
      </c>
      <c r="D302" s="86" t="s">
        <v>402</v>
      </c>
      <c r="E302" s="86" t="s">
        <v>9</v>
      </c>
    </row>
    <row r="303" spans="1:5" ht="39" x14ac:dyDescent="0.25">
      <c r="A303" s="86" t="s">
        <v>295</v>
      </c>
      <c r="B303" s="86" t="s">
        <v>296</v>
      </c>
      <c r="C303" s="86" t="s">
        <v>288</v>
      </c>
      <c r="D303" s="86" t="s">
        <v>403</v>
      </c>
      <c r="E303" s="86" t="s">
        <v>9</v>
      </c>
    </row>
    <row r="304" spans="1:5" ht="39" x14ac:dyDescent="0.25">
      <c r="A304" s="86" t="s">
        <v>295</v>
      </c>
      <c r="B304" s="86" t="s">
        <v>296</v>
      </c>
      <c r="C304" s="86" t="s">
        <v>288</v>
      </c>
      <c r="D304" s="86" t="s">
        <v>404</v>
      </c>
      <c r="E304" s="86" t="s">
        <v>9</v>
      </c>
    </row>
    <row r="305" spans="1:5" ht="39" x14ac:dyDescent="0.25">
      <c r="A305" s="86" t="s">
        <v>295</v>
      </c>
      <c r="B305" s="86" t="s">
        <v>296</v>
      </c>
      <c r="C305" s="86" t="s">
        <v>288</v>
      </c>
      <c r="D305" s="86" t="s">
        <v>405</v>
      </c>
      <c r="E305" s="86" t="s">
        <v>9</v>
      </c>
    </row>
    <row r="306" spans="1:5" ht="39" x14ac:dyDescent="0.25">
      <c r="A306" s="86" t="s">
        <v>295</v>
      </c>
      <c r="B306" s="86" t="s">
        <v>296</v>
      </c>
      <c r="C306" s="86" t="s">
        <v>288</v>
      </c>
      <c r="D306" s="86" t="s">
        <v>406</v>
      </c>
      <c r="E306" s="86" t="s">
        <v>9</v>
      </c>
    </row>
    <row r="307" spans="1:5" ht="39" x14ac:dyDescent="0.25">
      <c r="A307" s="86" t="s">
        <v>295</v>
      </c>
      <c r="B307" s="86" t="s">
        <v>296</v>
      </c>
      <c r="C307" s="86" t="s">
        <v>288</v>
      </c>
      <c r="D307" s="86" t="s">
        <v>407</v>
      </c>
      <c r="E307" s="86" t="s">
        <v>9</v>
      </c>
    </row>
    <row r="308" spans="1:5" ht="39" x14ac:dyDescent="0.25">
      <c r="A308" s="86" t="s">
        <v>295</v>
      </c>
      <c r="B308" s="86" t="s">
        <v>296</v>
      </c>
      <c r="C308" s="86" t="s">
        <v>288</v>
      </c>
      <c r="D308" s="86" t="s">
        <v>394</v>
      </c>
      <c r="E308" s="86" t="s">
        <v>9</v>
      </c>
    </row>
    <row r="309" spans="1:5" ht="39" x14ac:dyDescent="0.25">
      <c r="A309" s="86" t="s">
        <v>295</v>
      </c>
      <c r="B309" s="86" t="s">
        <v>296</v>
      </c>
      <c r="C309" s="86" t="s">
        <v>288</v>
      </c>
      <c r="D309" s="86" t="s">
        <v>433</v>
      </c>
      <c r="E309" s="86" t="s">
        <v>9</v>
      </c>
    </row>
    <row r="310" spans="1:5" ht="51.75" x14ac:dyDescent="0.25">
      <c r="A310" s="86" t="s">
        <v>295</v>
      </c>
      <c r="B310" s="86" t="s">
        <v>296</v>
      </c>
      <c r="C310" s="86" t="s">
        <v>288</v>
      </c>
      <c r="D310" s="86" t="s">
        <v>432</v>
      </c>
      <c r="E310" s="86" t="s">
        <v>9</v>
      </c>
    </row>
    <row r="311" spans="1:5" ht="51.75" x14ac:dyDescent="0.25">
      <c r="A311" s="86" t="s">
        <v>295</v>
      </c>
      <c r="B311" s="86" t="s">
        <v>296</v>
      </c>
      <c r="C311" s="86" t="s">
        <v>288</v>
      </c>
      <c r="D311" s="86" t="s">
        <v>425</v>
      </c>
      <c r="E311" s="86" t="s">
        <v>9</v>
      </c>
    </row>
    <row r="312" spans="1:5" ht="51.75" x14ac:dyDescent="0.25">
      <c r="A312" s="86" t="s">
        <v>295</v>
      </c>
      <c r="B312" s="86" t="s">
        <v>296</v>
      </c>
      <c r="C312" s="86" t="s">
        <v>288</v>
      </c>
      <c r="D312" s="86" t="s">
        <v>416</v>
      </c>
      <c r="E312" s="86" t="s">
        <v>9</v>
      </c>
    </row>
    <row r="313" spans="1:5" ht="39" x14ac:dyDescent="0.25">
      <c r="A313" s="86" t="s">
        <v>295</v>
      </c>
      <c r="B313" s="86" t="s">
        <v>296</v>
      </c>
      <c r="C313" s="86" t="s">
        <v>288</v>
      </c>
      <c r="D313" s="86" t="s">
        <v>435</v>
      </c>
      <c r="E313" s="86" t="s">
        <v>9</v>
      </c>
    </row>
    <row r="314" spans="1:5" ht="39" x14ac:dyDescent="0.25">
      <c r="A314" s="86" t="s">
        <v>295</v>
      </c>
      <c r="B314" s="86" t="s">
        <v>296</v>
      </c>
      <c r="C314" s="86" t="s">
        <v>288</v>
      </c>
      <c r="D314" s="86" t="s">
        <v>430</v>
      </c>
      <c r="E314" s="86" t="s">
        <v>9</v>
      </c>
    </row>
    <row r="315" spans="1:5" ht="51.75" x14ac:dyDescent="0.25">
      <c r="A315" s="86" t="s">
        <v>295</v>
      </c>
      <c r="B315" s="86" t="s">
        <v>296</v>
      </c>
      <c r="C315" s="86" t="s">
        <v>288</v>
      </c>
      <c r="D315" s="86" t="s">
        <v>423</v>
      </c>
      <c r="E315" s="86" t="s">
        <v>9</v>
      </c>
    </row>
    <row r="316" spans="1:5" ht="51.75" x14ac:dyDescent="0.25">
      <c r="A316" s="86" t="s">
        <v>295</v>
      </c>
      <c r="B316" s="86" t="s">
        <v>296</v>
      </c>
      <c r="C316" s="86" t="s">
        <v>288</v>
      </c>
      <c r="D316" s="86" t="s">
        <v>414</v>
      </c>
      <c r="E316" s="86" t="s">
        <v>9</v>
      </c>
    </row>
    <row r="317" spans="1:5" ht="39" x14ac:dyDescent="0.25">
      <c r="A317" s="86" t="s">
        <v>295</v>
      </c>
      <c r="B317" s="86" t="s">
        <v>296</v>
      </c>
      <c r="C317" s="86" t="s">
        <v>288</v>
      </c>
      <c r="D317" s="86" t="s">
        <v>437</v>
      </c>
      <c r="E317" s="86" t="s">
        <v>9</v>
      </c>
    </row>
    <row r="318" spans="1:5" ht="51.75" x14ac:dyDescent="0.25">
      <c r="A318" s="86" t="s">
        <v>295</v>
      </c>
      <c r="B318" s="86" t="s">
        <v>296</v>
      </c>
      <c r="C318" s="86" t="s">
        <v>288</v>
      </c>
      <c r="D318" s="86" t="s">
        <v>428</v>
      </c>
      <c r="E318" s="86" t="s">
        <v>9</v>
      </c>
    </row>
    <row r="319" spans="1:5" ht="51.75" x14ac:dyDescent="0.25">
      <c r="A319" s="86" t="s">
        <v>295</v>
      </c>
      <c r="B319" s="86" t="s">
        <v>296</v>
      </c>
      <c r="C319" s="86" t="s">
        <v>288</v>
      </c>
      <c r="D319" s="86" t="s">
        <v>421</v>
      </c>
      <c r="E319" s="86" t="s">
        <v>9</v>
      </c>
    </row>
    <row r="320" spans="1:5" ht="51.75" x14ac:dyDescent="0.25">
      <c r="A320" s="86" t="s">
        <v>295</v>
      </c>
      <c r="B320" s="86" t="s">
        <v>296</v>
      </c>
      <c r="C320" s="86" t="s">
        <v>288</v>
      </c>
      <c r="D320" s="86" t="s">
        <v>412</v>
      </c>
      <c r="E320" s="86" t="s">
        <v>9</v>
      </c>
    </row>
    <row r="321" spans="1:5" ht="39" x14ac:dyDescent="0.25">
      <c r="A321" s="86" t="s">
        <v>295</v>
      </c>
      <c r="B321" s="86" t="s">
        <v>296</v>
      </c>
      <c r="C321" s="86" t="s">
        <v>288</v>
      </c>
      <c r="D321" s="86" t="s">
        <v>438</v>
      </c>
      <c r="E321" s="86" t="s">
        <v>9</v>
      </c>
    </row>
    <row r="322" spans="1:5" ht="39" x14ac:dyDescent="0.25">
      <c r="A322" s="86" t="s">
        <v>295</v>
      </c>
      <c r="B322" s="86" t="s">
        <v>296</v>
      </c>
      <c r="C322" s="86" t="s">
        <v>288</v>
      </c>
      <c r="D322" s="86" t="s">
        <v>427</v>
      </c>
      <c r="E322" s="86" t="s">
        <v>9</v>
      </c>
    </row>
    <row r="323" spans="1:5" ht="51.75" x14ac:dyDescent="0.25">
      <c r="A323" s="86" t="s">
        <v>295</v>
      </c>
      <c r="B323" s="86" t="s">
        <v>296</v>
      </c>
      <c r="C323" s="86" t="s">
        <v>288</v>
      </c>
      <c r="D323" s="86" t="s">
        <v>420</v>
      </c>
      <c r="E323" s="86" t="s">
        <v>9</v>
      </c>
    </row>
    <row r="324" spans="1:5" ht="51.75" x14ac:dyDescent="0.25">
      <c r="A324" s="86" t="s">
        <v>295</v>
      </c>
      <c r="B324" s="86" t="s">
        <v>296</v>
      </c>
      <c r="C324" s="86" t="s">
        <v>288</v>
      </c>
      <c r="D324" s="86" t="s">
        <v>411</v>
      </c>
      <c r="E324" s="86" t="s">
        <v>9</v>
      </c>
    </row>
    <row r="325" spans="1:5" ht="39" x14ac:dyDescent="0.25">
      <c r="A325" s="86" t="s">
        <v>295</v>
      </c>
      <c r="B325" s="86" t="s">
        <v>296</v>
      </c>
      <c r="C325" s="86" t="s">
        <v>288</v>
      </c>
      <c r="D325" s="86" t="s">
        <v>300</v>
      </c>
      <c r="E325" s="86" t="s">
        <v>9</v>
      </c>
    </row>
    <row r="326" spans="1:5" ht="39" x14ac:dyDescent="0.25">
      <c r="A326" s="86" t="s">
        <v>295</v>
      </c>
      <c r="B326" s="86" t="s">
        <v>296</v>
      </c>
      <c r="C326" s="86" t="s">
        <v>288</v>
      </c>
      <c r="D326" s="86" t="s">
        <v>408</v>
      </c>
      <c r="E326" s="86" t="s">
        <v>9</v>
      </c>
    </row>
    <row r="327" spans="1:5" ht="39" x14ac:dyDescent="0.25">
      <c r="A327" s="86" t="s">
        <v>295</v>
      </c>
      <c r="B327" s="86" t="s">
        <v>296</v>
      </c>
      <c r="C327" s="86" t="s">
        <v>288</v>
      </c>
      <c r="D327" s="86" t="s">
        <v>409</v>
      </c>
      <c r="E327" s="86" t="s">
        <v>9</v>
      </c>
    </row>
    <row r="328" spans="1:5" ht="39" x14ac:dyDescent="0.25">
      <c r="A328" s="86" t="s">
        <v>295</v>
      </c>
      <c r="B328" s="86" t="s">
        <v>296</v>
      </c>
      <c r="C328" s="86" t="s">
        <v>288</v>
      </c>
      <c r="D328" s="86" t="s">
        <v>306</v>
      </c>
      <c r="E328" s="86" t="s">
        <v>9</v>
      </c>
    </row>
    <row r="329" spans="1:5" ht="39" x14ac:dyDescent="0.25">
      <c r="A329" s="86" t="s">
        <v>295</v>
      </c>
      <c r="B329" s="86" t="s">
        <v>296</v>
      </c>
      <c r="C329" s="86" t="s">
        <v>288</v>
      </c>
      <c r="D329" s="86" t="s">
        <v>419</v>
      </c>
      <c r="E329" s="86" t="s">
        <v>9</v>
      </c>
    </row>
    <row r="330" spans="1:5" ht="39" x14ac:dyDescent="0.25">
      <c r="A330" s="86" t="s">
        <v>295</v>
      </c>
      <c r="B330" s="86" t="s">
        <v>296</v>
      </c>
      <c r="C330" s="86" t="s">
        <v>288</v>
      </c>
      <c r="D330" s="86" t="s">
        <v>426</v>
      </c>
      <c r="E330" s="86" t="s">
        <v>9</v>
      </c>
    </row>
    <row r="331" spans="1:5" ht="39" x14ac:dyDescent="0.25">
      <c r="A331" s="86" t="s">
        <v>295</v>
      </c>
      <c r="B331" s="86" t="s">
        <v>296</v>
      </c>
      <c r="C331" s="86" t="s">
        <v>288</v>
      </c>
      <c r="D331" s="86" t="s">
        <v>417</v>
      </c>
      <c r="E331" s="86" t="s">
        <v>9</v>
      </c>
    </row>
    <row r="332" spans="1:5" ht="39" x14ac:dyDescent="0.25">
      <c r="A332" s="86" t="s">
        <v>297</v>
      </c>
      <c r="B332" s="86" t="s">
        <v>298</v>
      </c>
      <c r="C332" s="86" t="s">
        <v>288</v>
      </c>
      <c r="D332" s="86" t="s">
        <v>399</v>
      </c>
      <c r="E332" s="86" t="s">
        <v>9</v>
      </c>
    </row>
    <row r="333" spans="1:5" ht="39" x14ac:dyDescent="0.25">
      <c r="A333" s="86" t="s">
        <v>297</v>
      </c>
      <c r="B333" s="86" t="s">
        <v>298</v>
      </c>
      <c r="C333" s="86" t="s">
        <v>288</v>
      </c>
      <c r="D333" s="86" t="s">
        <v>400</v>
      </c>
      <c r="E333" s="86" t="s">
        <v>9</v>
      </c>
    </row>
    <row r="334" spans="1:5" ht="51.75" x14ac:dyDescent="0.25">
      <c r="A334" s="86" t="s">
        <v>297</v>
      </c>
      <c r="B334" s="86" t="s">
        <v>298</v>
      </c>
      <c r="C334" s="86" t="s">
        <v>288</v>
      </c>
      <c r="D334" s="86" t="s">
        <v>401</v>
      </c>
      <c r="E334" s="86" t="s">
        <v>9</v>
      </c>
    </row>
    <row r="335" spans="1:5" ht="51.75" x14ac:dyDescent="0.25">
      <c r="A335" s="86" t="s">
        <v>297</v>
      </c>
      <c r="B335" s="86" t="s">
        <v>298</v>
      </c>
      <c r="C335" s="86" t="s">
        <v>288</v>
      </c>
      <c r="D335" s="86" t="s">
        <v>402</v>
      </c>
      <c r="E335" s="86" t="s">
        <v>9</v>
      </c>
    </row>
    <row r="336" spans="1:5" ht="39" x14ac:dyDescent="0.25">
      <c r="A336" s="86" t="s">
        <v>297</v>
      </c>
      <c r="B336" s="86" t="s">
        <v>298</v>
      </c>
      <c r="C336" s="86" t="s">
        <v>288</v>
      </c>
      <c r="D336" s="86" t="s">
        <v>403</v>
      </c>
      <c r="E336" s="86" t="s">
        <v>9</v>
      </c>
    </row>
    <row r="337" spans="1:5" ht="39" x14ac:dyDescent="0.25">
      <c r="A337" s="86" t="s">
        <v>297</v>
      </c>
      <c r="B337" s="86" t="s">
        <v>298</v>
      </c>
      <c r="C337" s="86" t="s">
        <v>288</v>
      </c>
      <c r="D337" s="86" t="s">
        <v>404</v>
      </c>
      <c r="E337" s="86" t="s">
        <v>9</v>
      </c>
    </row>
    <row r="338" spans="1:5" ht="39" x14ac:dyDescent="0.25">
      <c r="A338" s="86" t="s">
        <v>297</v>
      </c>
      <c r="B338" s="86" t="s">
        <v>298</v>
      </c>
      <c r="C338" s="86" t="s">
        <v>288</v>
      </c>
      <c r="D338" s="86" t="s">
        <v>405</v>
      </c>
      <c r="E338" s="86" t="s">
        <v>9</v>
      </c>
    </row>
    <row r="339" spans="1:5" ht="39" x14ac:dyDescent="0.25">
      <c r="A339" s="86" t="s">
        <v>297</v>
      </c>
      <c r="B339" s="86" t="s">
        <v>298</v>
      </c>
      <c r="C339" s="86" t="s">
        <v>288</v>
      </c>
      <c r="D339" s="86" t="s">
        <v>406</v>
      </c>
      <c r="E339" s="86" t="s">
        <v>9</v>
      </c>
    </row>
    <row r="340" spans="1:5" ht="39" x14ac:dyDescent="0.25">
      <c r="A340" s="86" t="s">
        <v>297</v>
      </c>
      <c r="B340" s="86" t="s">
        <v>298</v>
      </c>
      <c r="C340" s="86" t="s">
        <v>288</v>
      </c>
      <c r="D340" s="86" t="s">
        <v>407</v>
      </c>
      <c r="E340" s="86" t="s">
        <v>9</v>
      </c>
    </row>
    <row r="341" spans="1:5" ht="39" x14ac:dyDescent="0.25">
      <c r="A341" s="86" t="s">
        <v>297</v>
      </c>
      <c r="B341" s="86" t="s">
        <v>298</v>
      </c>
      <c r="C341" s="86" t="s">
        <v>288</v>
      </c>
      <c r="D341" s="86" t="s">
        <v>394</v>
      </c>
      <c r="E341" s="86" t="s">
        <v>9</v>
      </c>
    </row>
    <row r="342" spans="1:5" ht="39" x14ac:dyDescent="0.25">
      <c r="A342" s="86" t="s">
        <v>297</v>
      </c>
      <c r="B342" s="86" t="s">
        <v>298</v>
      </c>
      <c r="C342" s="86" t="s">
        <v>288</v>
      </c>
      <c r="D342" s="86" t="s">
        <v>300</v>
      </c>
      <c r="E342" s="86" t="s">
        <v>9</v>
      </c>
    </row>
    <row r="343" spans="1:5" ht="39" x14ac:dyDescent="0.25">
      <c r="A343" s="86" t="s">
        <v>297</v>
      </c>
      <c r="B343" s="86" t="s">
        <v>298</v>
      </c>
      <c r="C343" s="86" t="s">
        <v>288</v>
      </c>
      <c r="D343" s="86" t="s">
        <v>408</v>
      </c>
      <c r="E343" s="86" t="s">
        <v>9</v>
      </c>
    </row>
    <row r="344" spans="1:5" ht="39" x14ac:dyDescent="0.25">
      <c r="A344" s="86" t="s">
        <v>297</v>
      </c>
      <c r="B344" s="86" t="s">
        <v>298</v>
      </c>
      <c r="C344" s="86" t="s">
        <v>288</v>
      </c>
      <c r="D344" s="86" t="s">
        <v>409</v>
      </c>
      <c r="E344" s="86" t="s">
        <v>9</v>
      </c>
    </row>
    <row r="345" spans="1:5" ht="51.75" x14ac:dyDescent="0.25">
      <c r="A345" s="86" t="s">
        <v>297</v>
      </c>
      <c r="B345" s="86" t="s">
        <v>298</v>
      </c>
      <c r="C345" s="86" t="s">
        <v>288</v>
      </c>
      <c r="D345" s="86" t="s">
        <v>411</v>
      </c>
      <c r="E345" s="86" t="s">
        <v>9</v>
      </c>
    </row>
    <row r="346" spans="1:5" ht="51.75" x14ac:dyDescent="0.25">
      <c r="A346" s="86" t="s">
        <v>297</v>
      </c>
      <c r="B346" s="86" t="s">
        <v>298</v>
      </c>
      <c r="C346" s="86" t="s">
        <v>288</v>
      </c>
      <c r="D346" s="86" t="s">
        <v>412</v>
      </c>
      <c r="E346" s="86" t="s">
        <v>9</v>
      </c>
    </row>
    <row r="347" spans="1:5" ht="51.75" x14ac:dyDescent="0.25">
      <c r="A347" s="86" t="s">
        <v>297</v>
      </c>
      <c r="B347" s="86" t="s">
        <v>298</v>
      </c>
      <c r="C347" s="86" t="s">
        <v>288</v>
      </c>
      <c r="D347" s="86" t="s">
        <v>414</v>
      </c>
      <c r="E347" s="86" t="s">
        <v>9</v>
      </c>
    </row>
    <row r="348" spans="1:5" ht="51.75" x14ac:dyDescent="0.25">
      <c r="A348" s="86" t="s">
        <v>297</v>
      </c>
      <c r="B348" s="86" t="s">
        <v>298</v>
      </c>
      <c r="C348" s="86" t="s">
        <v>288</v>
      </c>
      <c r="D348" s="86" t="s">
        <v>416</v>
      </c>
      <c r="E348" s="86" t="s">
        <v>9</v>
      </c>
    </row>
    <row r="349" spans="1:5" ht="39" x14ac:dyDescent="0.25">
      <c r="A349" s="86" t="s">
        <v>297</v>
      </c>
      <c r="B349" s="86" t="s">
        <v>298</v>
      </c>
      <c r="C349" s="86" t="s">
        <v>288</v>
      </c>
      <c r="D349" s="86" t="s">
        <v>306</v>
      </c>
      <c r="E349" s="86" t="s">
        <v>9</v>
      </c>
    </row>
    <row r="350" spans="1:5" ht="39" x14ac:dyDescent="0.25">
      <c r="A350" s="86" t="s">
        <v>297</v>
      </c>
      <c r="B350" s="86" t="s">
        <v>298</v>
      </c>
      <c r="C350" s="86" t="s">
        <v>288</v>
      </c>
      <c r="D350" s="86" t="s">
        <v>419</v>
      </c>
      <c r="E350" s="86" t="s">
        <v>9</v>
      </c>
    </row>
    <row r="351" spans="1:5" ht="51.75" x14ac:dyDescent="0.25">
      <c r="A351" s="86" t="s">
        <v>297</v>
      </c>
      <c r="B351" s="86" t="s">
        <v>298</v>
      </c>
      <c r="C351" s="86" t="s">
        <v>288</v>
      </c>
      <c r="D351" s="86" t="s">
        <v>420</v>
      </c>
      <c r="E351" s="86" t="s">
        <v>9</v>
      </c>
    </row>
    <row r="352" spans="1:5" ht="51.75" x14ac:dyDescent="0.25">
      <c r="A352" s="86" t="s">
        <v>297</v>
      </c>
      <c r="B352" s="86" t="s">
        <v>298</v>
      </c>
      <c r="C352" s="86" t="s">
        <v>288</v>
      </c>
      <c r="D352" s="86" t="s">
        <v>421</v>
      </c>
      <c r="E352" s="86" t="s">
        <v>9</v>
      </c>
    </row>
    <row r="353" spans="1:5" ht="51.75" x14ac:dyDescent="0.25">
      <c r="A353" s="86" t="s">
        <v>297</v>
      </c>
      <c r="B353" s="86" t="s">
        <v>298</v>
      </c>
      <c r="C353" s="86" t="s">
        <v>288</v>
      </c>
      <c r="D353" s="86" t="s">
        <v>423</v>
      </c>
      <c r="E353" s="86" t="s">
        <v>9</v>
      </c>
    </row>
    <row r="354" spans="1:5" ht="51.75" x14ac:dyDescent="0.25">
      <c r="A354" s="86" t="s">
        <v>297</v>
      </c>
      <c r="B354" s="86" t="s">
        <v>298</v>
      </c>
      <c r="C354" s="86" t="s">
        <v>288</v>
      </c>
      <c r="D354" s="86" t="s">
        <v>425</v>
      </c>
      <c r="E354" s="86" t="s">
        <v>9</v>
      </c>
    </row>
    <row r="355" spans="1:5" ht="39" x14ac:dyDescent="0.25">
      <c r="A355" s="86" t="s">
        <v>297</v>
      </c>
      <c r="B355" s="86" t="s">
        <v>298</v>
      </c>
      <c r="C355" s="86" t="s">
        <v>288</v>
      </c>
      <c r="D355" s="86" t="s">
        <v>426</v>
      </c>
      <c r="E355" s="86" t="s">
        <v>9</v>
      </c>
    </row>
    <row r="356" spans="1:5" ht="39" x14ac:dyDescent="0.25">
      <c r="A356" s="86" t="s">
        <v>297</v>
      </c>
      <c r="B356" s="86" t="s">
        <v>298</v>
      </c>
      <c r="C356" s="86" t="s">
        <v>288</v>
      </c>
      <c r="D356" s="86" t="s">
        <v>417</v>
      </c>
      <c r="E356" s="86" t="s">
        <v>9</v>
      </c>
    </row>
    <row r="357" spans="1:5" ht="39" x14ac:dyDescent="0.25">
      <c r="A357" s="86" t="s">
        <v>297</v>
      </c>
      <c r="B357" s="86" t="s">
        <v>298</v>
      </c>
      <c r="C357" s="86" t="s">
        <v>288</v>
      </c>
      <c r="D357" s="86" t="s">
        <v>427</v>
      </c>
      <c r="E357" s="86" t="s">
        <v>9</v>
      </c>
    </row>
    <row r="358" spans="1:5" ht="51.75" x14ac:dyDescent="0.25">
      <c r="A358" s="86" t="s">
        <v>297</v>
      </c>
      <c r="B358" s="86" t="s">
        <v>298</v>
      </c>
      <c r="C358" s="86" t="s">
        <v>288</v>
      </c>
      <c r="D358" s="86" t="s">
        <v>428</v>
      </c>
      <c r="E358" s="86" t="s">
        <v>9</v>
      </c>
    </row>
    <row r="359" spans="1:5" ht="39" x14ac:dyDescent="0.25">
      <c r="A359" s="86" t="s">
        <v>297</v>
      </c>
      <c r="B359" s="86" t="s">
        <v>298</v>
      </c>
      <c r="C359" s="86" t="s">
        <v>288</v>
      </c>
      <c r="D359" s="86" t="s">
        <v>430</v>
      </c>
      <c r="E359" s="86" t="s">
        <v>9</v>
      </c>
    </row>
    <row r="360" spans="1:5" ht="51.75" x14ac:dyDescent="0.25">
      <c r="A360" s="86" t="s">
        <v>297</v>
      </c>
      <c r="B360" s="86" t="s">
        <v>298</v>
      </c>
      <c r="C360" s="86" t="s">
        <v>288</v>
      </c>
      <c r="D360" s="86" t="s">
        <v>432</v>
      </c>
      <c r="E360" s="86" t="s">
        <v>9</v>
      </c>
    </row>
    <row r="361" spans="1:5" ht="39" x14ac:dyDescent="0.25">
      <c r="A361" s="86" t="s">
        <v>297</v>
      </c>
      <c r="B361" s="86" t="s">
        <v>298</v>
      </c>
      <c r="C361" s="86" t="s">
        <v>288</v>
      </c>
      <c r="D361" s="86" t="s">
        <v>433</v>
      </c>
      <c r="E361" s="86" t="s">
        <v>9</v>
      </c>
    </row>
    <row r="362" spans="1:5" ht="39" x14ac:dyDescent="0.25">
      <c r="A362" s="86" t="s">
        <v>297</v>
      </c>
      <c r="B362" s="86" t="s">
        <v>298</v>
      </c>
      <c r="C362" s="86" t="s">
        <v>288</v>
      </c>
      <c r="D362" s="86" t="s">
        <v>435</v>
      </c>
      <c r="E362" s="86" t="s">
        <v>9</v>
      </c>
    </row>
    <row r="363" spans="1:5" ht="39" x14ac:dyDescent="0.25">
      <c r="A363" s="86" t="s">
        <v>297</v>
      </c>
      <c r="B363" s="86" t="s">
        <v>298</v>
      </c>
      <c r="C363" s="86" t="s">
        <v>288</v>
      </c>
      <c r="D363" s="86" t="s">
        <v>437</v>
      </c>
      <c r="E363" s="86" t="s">
        <v>9</v>
      </c>
    </row>
    <row r="364" spans="1:5" ht="39" x14ac:dyDescent="0.25">
      <c r="A364" s="86" t="s">
        <v>297</v>
      </c>
      <c r="B364" s="86" t="s">
        <v>298</v>
      </c>
      <c r="C364" s="86" t="s">
        <v>288</v>
      </c>
      <c r="D364" s="86" t="s">
        <v>438</v>
      </c>
      <c r="E364" s="86" t="s">
        <v>9</v>
      </c>
    </row>
    <row r="365" spans="1:5" ht="39" x14ac:dyDescent="0.25">
      <c r="A365" s="86" t="s">
        <v>270</v>
      </c>
      <c r="B365" s="86" t="s">
        <v>369</v>
      </c>
      <c r="C365" s="86" t="s">
        <v>29</v>
      </c>
      <c r="D365" s="86" t="s">
        <v>266</v>
      </c>
      <c r="E365" s="86" t="s">
        <v>9</v>
      </c>
    </row>
    <row r="366" spans="1:5" ht="39" x14ac:dyDescent="0.25">
      <c r="A366" s="86" t="s">
        <v>270</v>
      </c>
      <c r="B366" s="86" t="s">
        <v>369</v>
      </c>
      <c r="C366" s="86" t="s">
        <v>29</v>
      </c>
      <c r="D366" s="86" t="s">
        <v>272</v>
      </c>
      <c r="E366" s="86" t="s">
        <v>9</v>
      </c>
    </row>
    <row r="367" spans="1:5" ht="39" x14ac:dyDescent="0.25">
      <c r="A367" s="86" t="s">
        <v>270</v>
      </c>
      <c r="B367" s="86" t="s">
        <v>369</v>
      </c>
      <c r="C367" s="86" t="s">
        <v>29</v>
      </c>
      <c r="D367" s="86" t="s">
        <v>300</v>
      </c>
      <c r="E367" s="86" t="s">
        <v>9</v>
      </c>
    </row>
    <row r="368" spans="1:5" ht="39" x14ac:dyDescent="0.25">
      <c r="A368" s="86" t="s">
        <v>270</v>
      </c>
      <c r="B368" s="86" t="s">
        <v>369</v>
      </c>
      <c r="C368" s="86" t="s">
        <v>29</v>
      </c>
      <c r="D368" s="86" t="s">
        <v>306</v>
      </c>
      <c r="E368" s="86" t="s">
        <v>9</v>
      </c>
    </row>
    <row r="369" spans="1:5" ht="39" x14ac:dyDescent="0.25">
      <c r="A369" s="86" t="s">
        <v>270</v>
      </c>
      <c r="B369" s="86" t="s">
        <v>369</v>
      </c>
      <c r="C369" s="86" t="s">
        <v>29</v>
      </c>
      <c r="D369" s="86" t="s">
        <v>301</v>
      </c>
      <c r="E369" s="86" t="s">
        <v>9</v>
      </c>
    </row>
    <row r="370" spans="1:5" ht="39" x14ac:dyDescent="0.25">
      <c r="A370" s="86" t="s">
        <v>270</v>
      </c>
      <c r="B370" s="86" t="s">
        <v>369</v>
      </c>
      <c r="C370" s="86" t="s">
        <v>29</v>
      </c>
      <c r="D370" s="86" t="s">
        <v>302</v>
      </c>
      <c r="E370" s="86" t="s">
        <v>9</v>
      </c>
    </row>
    <row r="371" spans="1:5" ht="39" x14ac:dyDescent="0.25">
      <c r="A371" s="86" t="s">
        <v>270</v>
      </c>
      <c r="B371" s="86" t="s">
        <v>369</v>
      </c>
      <c r="C371" s="86" t="s">
        <v>29</v>
      </c>
      <c r="D371" s="86" t="s">
        <v>299</v>
      </c>
      <c r="E371" s="86" t="s">
        <v>9</v>
      </c>
    </row>
    <row r="372" spans="1:5" ht="39" x14ac:dyDescent="0.25">
      <c r="A372" s="86" t="s">
        <v>270</v>
      </c>
      <c r="B372" s="86" t="s">
        <v>369</v>
      </c>
      <c r="C372" s="86" t="s">
        <v>29</v>
      </c>
      <c r="D372" s="86" t="s">
        <v>304</v>
      </c>
      <c r="E372" s="86" t="s">
        <v>9</v>
      </c>
    </row>
    <row r="373" spans="1:5" ht="39" x14ac:dyDescent="0.25">
      <c r="A373" s="86" t="s">
        <v>265</v>
      </c>
      <c r="B373" s="86" t="s">
        <v>370</v>
      </c>
      <c r="C373" s="86" t="s">
        <v>29</v>
      </c>
      <c r="D373" s="86" t="s">
        <v>266</v>
      </c>
      <c r="E373" s="86" t="s">
        <v>9</v>
      </c>
    </row>
    <row r="374" spans="1:5" ht="39" x14ac:dyDescent="0.25">
      <c r="A374" s="86" t="s">
        <v>265</v>
      </c>
      <c r="B374" s="86" t="s">
        <v>370</v>
      </c>
      <c r="C374" s="86" t="s">
        <v>29</v>
      </c>
      <c r="D374" s="86" t="s">
        <v>272</v>
      </c>
      <c r="E374" s="86" t="s">
        <v>9</v>
      </c>
    </row>
    <row r="375" spans="1:5" ht="39" x14ac:dyDescent="0.25">
      <c r="A375" s="86" t="s">
        <v>265</v>
      </c>
      <c r="B375" s="86" t="s">
        <v>370</v>
      </c>
      <c r="C375" s="86" t="s">
        <v>29</v>
      </c>
      <c r="D375" s="86" t="s">
        <v>301</v>
      </c>
      <c r="E375" s="86" t="s">
        <v>9</v>
      </c>
    </row>
    <row r="376" spans="1:5" ht="39" x14ac:dyDescent="0.25">
      <c r="A376" s="86" t="s">
        <v>265</v>
      </c>
      <c r="B376" s="86" t="s">
        <v>370</v>
      </c>
      <c r="C376" s="86" t="s">
        <v>29</v>
      </c>
      <c r="D376" s="86" t="s">
        <v>302</v>
      </c>
      <c r="E376" s="86" t="s">
        <v>9</v>
      </c>
    </row>
    <row r="377" spans="1:5" ht="39" x14ac:dyDescent="0.25">
      <c r="A377" s="86" t="s">
        <v>265</v>
      </c>
      <c r="B377" s="86" t="s">
        <v>370</v>
      </c>
      <c r="C377" s="86" t="s">
        <v>29</v>
      </c>
      <c r="D377" s="86" t="s">
        <v>300</v>
      </c>
      <c r="E377" s="86" t="s">
        <v>9</v>
      </c>
    </row>
    <row r="378" spans="1:5" ht="39" x14ac:dyDescent="0.25">
      <c r="A378" s="86" t="s">
        <v>265</v>
      </c>
      <c r="B378" s="86" t="s">
        <v>370</v>
      </c>
      <c r="C378" s="86" t="s">
        <v>29</v>
      </c>
      <c r="D378" s="86" t="s">
        <v>306</v>
      </c>
      <c r="E378" s="86" t="s">
        <v>9</v>
      </c>
    </row>
    <row r="379" spans="1:5" ht="39" x14ac:dyDescent="0.25">
      <c r="A379" s="86" t="s">
        <v>265</v>
      </c>
      <c r="B379" s="86" t="s">
        <v>370</v>
      </c>
      <c r="C379" s="86" t="s">
        <v>29</v>
      </c>
      <c r="D379" s="86" t="s">
        <v>299</v>
      </c>
      <c r="E379" s="86" t="s">
        <v>9</v>
      </c>
    </row>
    <row r="380" spans="1:5" ht="39" x14ac:dyDescent="0.25">
      <c r="A380" s="86" t="s">
        <v>265</v>
      </c>
      <c r="B380" s="86" t="s">
        <v>370</v>
      </c>
      <c r="C380" s="86" t="s">
        <v>29</v>
      </c>
      <c r="D380" s="86" t="s">
        <v>304</v>
      </c>
      <c r="E380" s="86" t="s">
        <v>9</v>
      </c>
    </row>
    <row r="381" spans="1:5" ht="39" x14ac:dyDescent="0.25">
      <c r="A381" s="86" t="s">
        <v>269</v>
      </c>
      <c r="B381" s="86" t="s">
        <v>369</v>
      </c>
      <c r="C381" s="86" t="s">
        <v>43</v>
      </c>
      <c r="D381" s="86" t="s">
        <v>266</v>
      </c>
      <c r="E381" s="86" t="s">
        <v>9</v>
      </c>
    </row>
    <row r="382" spans="1:5" ht="39" x14ac:dyDescent="0.25">
      <c r="A382" s="86" t="s">
        <v>269</v>
      </c>
      <c r="B382" s="86" t="s">
        <v>369</v>
      </c>
      <c r="C382" s="86" t="s">
        <v>43</v>
      </c>
      <c r="D382" s="86" t="s">
        <v>272</v>
      </c>
      <c r="E382" s="86" t="s">
        <v>9</v>
      </c>
    </row>
    <row r="383" spans="1:5" ht="39" x14ac:dyDescent="0.25">
      <c r="A383" s="86" t="s">
        <v>269</v>
      </c>
      <c r="B383" s="86" t="s">
        <v>369</v>
      </c>
      <c r="C383" s="86" t="s">
        <v>43</v>
      </c>
      <c r="D383" s="86" t="s">
        <v>301</v>
      </c>
      <c r="E383" s="86" t="s">
        <v>9</v>
      </c>
    </row>
    <row r="384" spans="1:5" ht="39" x14ac:dyDescent="0.25">
      <c r="A384" s="86" t="s">
        <v>269</v>
      </c>
      <c r="B384" s="86" t="s">
        <v>369</v>
      </c>
      <c r="C384" s="86" t="s">
        <v>43</v>
      </c>
      <c r="D384" s="86" t="s">
        <v>302</v>
      </c>
      <c r="E384" s="86" t="s">
        <v>9</v>
      </c>
    </row>
    <row r="385" spans="1:5" ht="26.25" x14ac:dyDescent="0.25">
      <c r="A385" s="86" t="s">
        <v>267</v>
      </c>
      <c r="B385" s="86" t="s">
        <v>370</v>
      </c>
      <c r="C385" s="86" t="s">
        <v>43</v>
      </c>
      <c r="D385" s="86" t="s">
        <v>266</v>
      </c>
      <c r="E385" s="86" t="s">
        <v>9</v>
      </c>
    </row>
    <row r="386" spans="1:5" ht="26.25" x14ac:dyDescent="0.25">
      <c r="A386" s="86" t="s">
        <v>267</v>
      </c>
      <c r="B386" s="86" t="s">
        <v>370</v>
      </c>
      <c r="C386" s="86" t="s">
        <v>43</v>
      </c>
      <c r="D386" s="86" t="s">
        <v>272</v>
      </c>
      <c r="E386" s="86" t="s">
        <v>9</v>
      </c>
    </row>
    <row r="387" spans="1:5" ht="26.25" x14ac:dyDescent="0.25">
      <c r="A387" s="86" t="s">
        <v>267</v>
      </c>
      <c r="B387" s="86" t="s">
        <v>370</v>
      </c>
      <c r="C387" s="86" t="s">
        <v>43</v>
      </c>
      <c r="D387" s="86" t="s">
        <v>301</v>
      </c>
      <c r="E387" s="86" t="s">
        <v>9</v>
      </c>
    </row>
    <row r="388" spans="1:5" ht="26.25" x14ac:dyDescent="0.25">
      <c r="A388" s="86" t="s">
        <v>267</v>
      </c>
      <c r="B388" s="86" t="s">
        <v>370</v>
      </c>
      <c r="C388" s="86" t="s">
        <v>43</v>
      </c>
      <c r="D388" s="86" t="s">
        <v>302</v>
      </c>
      <c r="E388" s="86" t="s">
        <v>9</v>
      </c>
    </row>
    <row r="389" spans="1:5" ht="51.75" x14ac:dyDescent="0.25">
      <c r="A389" s="86" t="s">
        <v>41</v>
      </c>
      <c r="B389" s="86" t="s">
        <v>42</v>
      </c>
      <c r="C389" s="86" t="s">
        <v>43</v>
      </c>
      <c r="D389" s="86" t="s">
        <v>266</v>
      </c>
      <c r="E389" s="86" t="s">
        <v>215</v>
      </c>
    </row>
    <row r="390" spans="1:5" ht="51.75" x14ac:dyDescent="0.25">
      <c r="A390" s="86" t="s">
        <v>41</v>
      </c>
      <c r="B390" s="86" t="s">
        <v>42</v>
      </c>
      <c r="C390" s="86" t="s">
        <v>43</v>
      </c>
      <c r="D390" s="86" t="s">
        <v>301</v>
      </c>
      <c r="E390" s="86" t="s">
        <v>373</v>
      </c>
    </row>
    <row r="391" spans="1:5" ht="51.75" x14ac:dyDescent="0.25">
      <c r="A391" s="86" t="s">
        <v>44</v>
      </c>
      <c r="B391" s="86" t="s">
        <v>35</v>
      </c>
      <c r="C391" s="86" t="s">
        <v>43</v>
      </c>
      <c r="D391" s="86" t="s">
        <v>266</v>
      </c>
      <c r="E391" s="86" t="s">
        <v>380</v>
      </c>
    </row>
    <row r="392" spans="1:5" ht="51.75" x14ac:dyDescent="0.25">
      <c r="A392" s="86" t="s">
        <v>44</v>
      </c>
      <c r="B392" s="86" t="s">
        <v>35</v>
      </c>
      <c r="C392" s="86" t="s">
        <v>43</v>
      </c>
      <c r="D392" s="86" t="s">
        <v>301</v>
      </c>
      <c r="E392" s="86" t="s">
        <v>237</v>
      </c>
    </row>
    <row r="393" spans="1:5" ht="26.25" x14ac:dyDescent="0.25">
      <c r="A393" s="86" t="s">
        <v>379</v>
      </c>
      <c r="B393" s="86" t="s">
        <v>291</v>
      </c>
      <c r="C393" s="86" t="s">
        <v>375</v>
      </c>
      <c r="D393" s="86" t="s">
        <v>258</v>
      </c>
      <c r="E393" s="86" t="s">
        <v>9</v>
      </c>
    </row>
    <row r="394" spans="1:5" ht="39" x14ac:dyDescent="0.25">
      <c r="A394" s="86" t="s">
        <v>379</v>
      </c>
      <c r="B394" s="86" t="s">
        <v>291</v>
      </c>
      <c r="C394" s="86" t="s">
        <v>375</v>
      </c>
      <c r="D394" s="86" t="s">
        <v>385</v>
      </c>
      <c r="E394" s="86" t="s">
        <v>9</v>
      </c>
    </row>
    <row r="395" spans="1:5" ht="51.75" x14ac:dyDescent="0.25">
      <c r="A395" s="86" t="s">
        <v>379</v>
      </c>
      <c r="B395" s="86" t="s">
        <v>291</v>
      </c>
      <c r="C395" s="86" t="s">
        <v>375</v>
      </c>
      <c r="D395" s="86" t="s">
        <v>386</v>
      </c>
      <c r="E395" s="86" t="s">
        <v>9</v>
      </c>
    </row>
    <row r="396" spans="1:5" ht="51.75" x14ac:dyDescent="0.25">
      <c r="A396" s="86" t="s">
        <v>379</v>
      </c>
      <c r="B396" s="86" t="s">
        <v>291</v>
      </c>
      <c r="C396" s="86" t="s">
        <v>375</v>
      </c>
      <c r="D396" s="86" t="s">
        <v>387</v>
      </c>
      <c r="E396" s="86" t="s">
        <v>9</v>
      </c>
    </row>
    <row r="397" spans="1:5" ht="51.75" x14ac:dyDescent="0.25">
      <c r="A397" s="86" t="s">
        <v>379</v>
      </c>
      <c r="B397" s="86" t="s">
        <v>291</v>
      </c>
      <c r="C397" s="86" t="s">
        <v>375</v>
      </c>
      <c r="D397" s="86" t="s">
        <v>388</v>
      </c>
      <c r="E397" s="86" t="s">
        <v>9</v>
      </c>
    </row>
    <row r="398" spans="1:5" ht="26.25" x14ac:dyDescent="0.25">
      <c r="A398" s="86" t="s">
        <v>379</v>
      </c>
      <c r="B398" s="86" t="s">
        <v>291</v>
      </c>
      <c r="C398" s="86" t="s">
        <v>375</v>
      </c>
      <c r="D398" s="86" t="s">
        <v>395</v>
      </c>
      <c r="E398" s="86" t="s">
        <v>9</v>
      </c>
    </row>
    <row r="399" spans="1:5" ht="39" x14ac:dyDescent="0.25">
      <c r="A399" s="86" t="s">
        <v>379</v>
      </c>
      <c r="B399" s="86" t="s">
        <v>291</v>
      </c>
      <c r="C399" s="86" t="s">
        <v>375</v>
      </c>
      <c r="D399" s="86" t="s">
        <v>396</v>
      </c>
      <c r="E399" s="86" t="s">
        <v>9</v>
      </c>
    </row>
    <row r="400" spans="1:5" ht="39" x14ac:dyDescent="0.25">
      <c r="A400" s="86" t="s">
        <v>379</v>
      </c>
      <c r="B400" s="86" t="s">
        <v>291</v>
      </c>
      <c r="C400" s="86" t="s">
        <v>375</v>
      </c>
      <c r="D400" s="86" t="s">
        <v>398</v>
      </c>
      <c r="E400" s="86" t="s">
        <v>9</v>
      </c>
    </row>
    <row r="401" spans="1:5" ht="39" x14ac:dyDescent="0.25">
      <c r="A401" s="86" t="s">
        <v>379</v>
      </c>
      <c r="B401" s="86" t="s">
        <v>291</v>
      </c>
      <c r="C401" s="86" t="s">
        <v>375</v>
      </c>
      <c r="D401" s="86" t="s">
        <v>397</v>
      </c>
      <c r="E401" s="86" t="s">
        <v>9</v>
      </c>
    </row>
    <row r="402" spans="1:5" ht="26.25" x14ac:dyDescent="0.25">
      <c r="A402" s="86" t="s">
        <v>379</v>
      </c>
      <c r="B402" s="86" t="s">
        <v>291</v>
      </c>
      <c r="C402" s="86" t="s">
        <v>375</v>
      </c>
      <c r="D402" s="86" t="s">
        <v>407</v>
      </c>
      <c r="E402" s="86" t="s">
        <v>9</v>
      </c>
    </row>
    <row r="403" spans="1:5" ht="26.25" x14ac:dyDescent="0.25">
      <c r="A403" s="86" t="s">
        <v>379</v>
      </c>
      <c r="B403" s="86" t="s">
        <v>291</v>
      </c>
      <c r="C403" s="86" t="s">
        <v>375</v>
      </c>
      <c r="D403" s="86" t="s">
        <v>393</v>
      </c>
      <c r="E403" s="86" t="s">
        <v>9</v>
      </c>
    </row>
    <row r="404" spans="1:5" ht="26.25" x14ac:dyDescent="0.25">
      <c r="A404" s="86" t="s">
        <v>379</v>
      </c>
      <c r="B404" s="86" t="s">
        <v>291</v>
      </c>
      <c r="C404" s="86" t="s">
        <v>375</v>
      </c>
      <c r="D404" s="86" t="s">
        <v>300</v>
      </c>
      <c r="E404" s="86" t="s">
        <v>9</v>
      </c>
    </row>
    <row r="405" spans="1:5" ht="39" x14ac:dyDescent="0.25">
      <c r="A405" s="86" t="s">
        <v>379</v>
      </c>
      <c r="B405" s="86" t="s">
        <v>291</v>
      </c>
      <c r="C405" s="86" t="s">
        <v>375</v>
      </c>
      <c r="D405" s="86" t="s">
        <v>417</v>
      </c>
      <c r="E405" s="86" t="s">
        <v>9</v>
      </c>
    </row>
    <row r="406" spans="1:5" ht="39" x14ac:dyDescent="0.25">
      <c r="A406" s="86" t="s">
        <v>379</v>
      </c>
      <c r="B406" s="86" t="s">
        <v>291</v>
      </c>
      <c r="C406" s="86" t="s">
        <v>375</v>
      </c>
      <c r="D406" s="86" t="s">
        <v>418</v>
      </c>
      <c r="E406" s="86" t="s">
        <v>9</v>
      </c>
    </row>
    <row r="407" spans="1:5" ht="51.75" x14ac:dyDescent="0.25">
      <c r="A407" s="86" t="s">
        <v>379</v>
      </c>
      <c r="B407" s="86" t="s">
        <v>291</v>
      </c>
      <c r="C407" s="86" t="s">
        <v>375</v>
      </c>
      <c r="D407" s="86" t="s">
        <v>423</v>
      </c>
      <c r="E407" s="86" t="s">
        <v>9</v>
      </c>
    </row>
    <row r="408" spans="1:5" ht="51.75" x14ac:dyDescent="0.25">
      <c r="A408" s="86" t="s">
        <v>379</v>
      </c>
      <c r="B408" s="86" t="s">
        <v>291</v>
      </c>
      <c r="C408" s="86" t="s">
        <v>375</v>
      </c>
      <c r="D408" s="86" t="s">
        <v>424</v>
      </c>
      <c r="E408" s="86" t="s">
        <v>9</v>
      </c>
    </row>
    <row r="409" spans="1:5" ht="51.75" x14ac:dyDescent="0.25">
      <c r="A409" s="86" t="s">
        <v>379</v>
      </c>
      <c r="B409" s="86" t="s">
        <v>291</v>
      </c>
      <c r="C409" s="86" t="s">
        <v>375</v>
      </c>
      <c r="D409" s="86" t="s">
        <v>420</v>
      </c>
      <c r="E409" s="86" t="s">
        <v>9</v>
      </c>
    </row>
    <row r="410" spans="1:5" ht="51.75" x14ac:dyDescent="0.25">
      <c r="A410" s="86" t="s">
        <v>379</v>
      </c>
      <c r="B410" s="86" t="s">
        <v>291</v>
      </c>
      <c r="C410" s="86" t="s">
        <v>375</v>
      </c>
      <c r="D410" s="86" t="s">
        <v>422</v>
      </c>
      <c r="E410" s="86" t="s">
        <v>9</v>
      </c>
    </row>
    <row r="411" spans="1:5" ht="26.25" x14ac:dyDescent="0.25">
      <c r="A411" s="86" t="s">
        <v>379</v>
      </c>
      <c r="B411" s="86" t="s">
        <v>291</v>
      </c>
      <c r="C411" s="86" t="s">
        <v>375</v>
      </c>
      <c r="D411" s="86" t="s">
        <v>307</v>
      </c>
      <c r="E411" s="86" t="s">
        <v>9</v>
      </c>
    </row>
    <row r="412" spans="1:5" ht="39" x14ac:dyDescent="0.25">
      <c r="A412" s="86" t="s">
        <v>379</v>
      </c>
      <c r="B412" s="86" t="s">
        <v>291</v>
      </c>
      <c r="C412" s="86" t="s">
        <v>375</v>
      </c>
      <c r="D412" s="86" t="s">
        <v>410</v>
      </c>
      <c r="E412" s="86" t="s">
        <v>9</v>
      </c>
    </row>
    <row r="413" spans="1:5" ht="51.75" x14ac:dyDescent="0.25">
      <c r="A413" s="86" t="s">
        <v>379</v>
      </c>
      <c r="B413" s="86" t="s">
        <v>291</v>
      </c>
      <c r="C413" s="86" t="s">
        <v>375</v>
      </c>
      <c r="D413" s="86" t="s">
        <v>414</v>
      </c>
      <c r="E413" s="86" t="s">
        <v>9</v>
      </c>
    </row>
    <row r="414" spans="1:5" ht="51.75" x14ac:dyDescent="0.25">
      <c r="A414" s="86" t="s">
        <v>379</v>
      </c>
      <c r="B414" s="86" t="s">
        <v>291</v>
      </c>
      <c r="C414" s="86" t="s">
        <v>375</v>
      </c>
      <c r="D414" s="86" t="s">
        <v>415</v>
      </c>
      <c r="E414" s="86" t="s">
        <v>9</v>
      </c>
    </row>
    <row r="415" spans="1:5" ht="51.75" x14ac:dyDescent="0.25">
      <c r="A415" s="86" t="s">
        <v>379</v>
      </c>
      <c r="B415" s="86" t="s">
        <v>291</v>
      </c>
      <c r="C415" s="86" t="s">
        <v>375</v>
      </c>
      <c r="D415" s="86" t="s">
        <v>411</v>
      </c>
      <c r="E415" s="86" t="s">
        <v>9</v>
      </c>
    </row>
    <row r="416" spans="1:5" ht="51.75" x14ac:dyDescent="0.25">
      <c r="A416" s="86" t="s">
        <v>379</v>
      </c>
      <c r="B416" s="86" t="s">
        <v>291</v>
      </c>
      <c r="C416" s="86" t="s">
        <v>375</v>
      </c>
      <c r="D416" s="86" t="s">
        <v>413</v>
      </c>
      <c r="E416" s="86" t="s">
        <v>9</v>
      </c>
    </row>
    <row r="417" spans="1:5" ht="26.25" x14ac:dyDescent="0.25">
      <c r="A417" s="86" t="s">
        <v>379</v>
      </c>
      <c r="B417" s="86" t="s">
        <v>291</v>
      </c>
      <c r="C417" s="86" t="s">
        <v>375</v>
      </c>
      <c r="D417" s="86" t="s">
        <v>426</v>
      </c>
      <c r="E417" s="86" t="s">
        <v>9</v>
      </c>
    </row>
    <row r="418" spans="1:5" ht="39" x14ac:dyDescent="0.25">
      <c r="A418" s="86" t="s">
        <v>379</v>
      </c>
      <c r="B418" s="86" t="s">
        <v>291</v>
      </c>
      <c r="C418" s="86" t="s">
        <v>375</v>
      </c>
      <c r="D418" s="86" t="s">
        <v>408</v>
      </c>
      <c r="E418" s="86" t="s">
        <v>9</v>
      </c>
    </row>
    <row r="419" spans="1:5" ht="39" x14ac:dyDescent="0.25">
      <c r="A419" s="86" t="s">
        <v>379</v>
      </c>
      <c r="B419" s="86" t="s">
        <v>291</v>
      </c>
      <c r="C419" s="86" t="s">
        <v>375</v>
      </c>
      <c r="D419" s="86" t="s">
        <v>430</v>
      </c>
      <c r="E419" s="86" t="s">
        <v>9</v>
      </c>
    </row>
    <row r="420" spans="1:5" ht="51.75" x14ac:dyDescent="0.25">
      <c r="A420" s="86" t="s">
        <v>379</v>
      </c>
      <c r="B420" s="86" t="s">
        <v>291</v>
      </c>
      <c r="C420" s="86" t="s">
        <v>375</v>
      </c>
      <c r="D420" s="86" t="s">
        <v>431</v>
      </c>
      <c r="E420" s="86" t="s">
        <v>9</v>
      </c>
    </row>
    <row r="421" spans="1:5" ht="39" x14ac:dyDescent="0.25">
      <c r="A421" s="86" t="s">
        <v>379</v>
      </c>
      <c r="B421" s="86" t="s">
        <v>291</v>
      </c>
      <c r="C421" s="86" t="s">
        <v>375</v>
      </c>
      <c r="D421" s="86" t="s">
        <v>427</v>
      </c>
      <c r="E421" s="86" t="s">
        <v>9</v>
      </c>
    </row>
    <row r="422" spans="1:5" ht="51.75" x14ac:dyDescent="0.25">
      <c r="A422" s="86" t="s">
        <v>379</v>
      </c>
      <c r="B422" s="86" t="s">
        <v>291</v>
      </c>
      <c r="C422" s="86" t="s">
        <v>375</v>
      </c>
      <c r="D422" s="86" t="s">
        <v>429</v>
      </c>
      <c r="E422" s="86" t="s">
        <v>9</v>
      </c>
    </row>
    <row r="423" spans="1:5" ht="39" x14ac:dyDescent="0.25">
      <c r="A423" s="86" t="s">
        <v>379</v>
      </c>
      <c r="B423" s="86" t="s">
        <v>291</v>
      </c>
      <c r="C423" s="86" t="s">
        <v>375</v>
      </c>
      <c r="D423" s="86" t="s">
        <v>436</v>
      </c>
      <c r="E423" s="86" t="s">
        <v>9</v>
      </c>
    </row>
    <row r="424" spans="1:5" ht="26.25" x14ac:dyDescent="0.25">
      <c r="A424" s="86" t="s">
        <v>379</v>
      </c>
      <c r="B424" s="86" t="s">
        <v>291</v>
      </c>
      <c r="C424" s="86" t="s">
        <v>375</v>
      </c>
      <c r="D424" s="86" t="s">
        <v>438</v>
      </c>
      <c r="E424" s="86" t="s">
        <v>9</v>
      </c>
    </row>
    <row r="425" spans="1:5" ht="39" x14ac:dyDescent="0.25">
      <c r="A425" s="86" t="s">
        <v>379</v>
      </c>
      <c r="B425" s="86" t="s">
        <v>291</v>
      </c>
      <c r="C425" s="86" t="s">
        <v>375</v>
      </c>
      <c r="D425" s="86" t="s">
        <v>434</v>
      </c>
      <c r="E425" s="86" t="s">
        <v>9</v>
      </c>
    </row>
    <row r="426" spans="1:5" ht="26.25" x14ac:dyDescent="0.25">
      <c r="A426" s="86" t="s">
        <v>379</v>
      </c>
      <c r="B426" s="86" t="s">
        <v>291</v>
      </c>
      <c r="C426" s="86" t="s">
        <v>375</v>
      </c>
      <c r="D426" s="86" t="s">
        <v>435</v>
      </c>
      <c r="E426" s="86" t="s">
        <v>9</v>
      </c>
    </row>
    <row r="427" spans="1:5" ht="26.25" x14ac:dyDescent="0.25">
      <c r="A427" s="86" t="s">
        <v>378</v>
      </c>
      <c r="B427" s="86" t="s">
        <v>371</v>
      </c>
      <c r="C427" s="86" t="s">
        <v>375</v>
      </c>
      <c r="D427" s="86" t="s">
        <v>258</v>
      </c>
      <c r="E427" s="86" t="s">
        <v>9</v>
      </c>
    </row>
    <row r="428" spans="1:5" ht="39" x14ac:dyDescent="0.25">
      <c r="A428" s="86" t="s">
        <v>378</v>
      </c>
      <c r="B428" s="86" t="s">
        <v>371</v>
      </c>
      <c r="C428" s="86" t="s">
        <v>375</v>
      </c>
      <c r="D428" s="86" t="s">
        <v>385</v>
      </c>
      <c r="E428" s="86" t="s">
        <v>9</v>
      </c>
    </row>
    <row r="429" spans="1:5" ht="51.75" x14ac:dyDescent="0.25">
      <c r="A429" s="86" t="s">
        <v>378</v>
      </c>
      <c r="B429" s="86" t="s">
        <v>371</v>
      </c>
      <c r="C429" s="86" t="s">
        <v>375</v>
      </c>
      <c r="D429" s="86" t="s">
        <v>386</v>
      </c>
      <c r="E429" s="86" t="s">
        <v>9</v>
      </c>
    </row>
    <row r="430" spans="1:5" ht="51.75" x14ac:dyDescent="0.25">
      <c r="A430" s="86" t="s">
        <v>378</v>
      </c>
      <c r="B430" s="86" t="s">
        <v>371</v>
      </c>
      <c r="C430" s="86" t="s">
        <v>375</v>
      </c>
      <c r="D430" s="86" t="s">
        <v>387</v>
      </c>
      <c r="E430" s="86" t="s">
        <v>9</v>
      </c>
    </row>
    <row r="431" spans="1:5" ht="51.75" x14ac:dyDescent="0.25">
      <c r="A431" s="86" t="s">
        <v>378</v>
      </c>
      <c r="B431" s="86" t="s">
        <v>371</v>
      </c>
      <c r="C431" s="86" t="s">
        <v>375</v>
      </c>
      <c r="D431" s="86" t="s">
        <v>388</v>
      </c>
      <c r="E431" s="86" t="s">
        <v>9</v>
      </c>
    </row>
    <row r="432" spans="1:5" ht="26.25" x14ac:dyDescent="0.25">
      <c r="A432" s="86" t="s">
        <v>378</v>
      </c>
      <c r="B432" s="86" t="s">
        <v>371</v>
      </c>
      <c r="C432" s="86" t="s">
        <v>375</v>
      </c>
      <c r="D432" s="86" t="s">
        <v>395</v>
      </c>
      <c r="E432" s="86" t="s">
        <v>9</v>
      </c>
    </row>
    <row r="433" spans="1:5" ht="39" x14ac:dyDescent="0.25">
      <c r="A433" s="86" t="s">
        <v>378</v>
      </c>
      <c r="B433" s="86" t="s">
        <v>371</v>
      </c>
      <c r="C433" s="86" t="s">
        <v>375</v>
      </c>
      <c r="D433" s="86" t="s">
        <v>396</v>
      </c>
      <c r="E433" s="86" t="s">
        <v>9</v>
      </c>
    </row>
    <row r="434" spans="1:5" ht="39" x14ac:dyDescent="0.25">
      <c r="A434" s="86" t="s">
        <v>378</v>
      </c>
      <c r="B434" s="86" t="s">
        <v>371</v>
      </c>
      <c r="C434" s="86" t="s">
        <v>375</v>
      </c>
      <c r="D434" s="86" t="s">
        <v>398</v>
      </c>
      <c r="E434" s="86" t="s">
        <v>9</v>
      </c>
    </row>
    <row r="435" spans="1:5" ht="39" x14ac:dyDescent="0.25">
      <c r="A435" s="86" t="s">
        <v>378</v>
      </c>
      <c r="B435" s="86" t="s">
        <v>371</v>
      </c>
      <c r="C435" s="86" t="s">
        <v>375</v>
      </c>
      <c r="D435" s="86" t="s">
        <v>397</v>
      </c>
      <c r="E435" s="86" t="s">
        <v>9</v>
      </c>
    </row>
    <row r="436" spans="1:5" ht="26.25" x14ac:dyDescent="0.25">
      <c r="A436" s="86" t="s">
        <v>378</v>
      </c>
      <c r="B436" s="86" t="s">
        <v>371</v>
      </c>
      <c r="C436" s="86" t="s">
        <v>375</v>
      </c>
      <c r="D436" s="86" t="s">
        <v>407</v>
      </c>
      <c r="E436" s="86" t="s">
        <v>9</v>
      </c>
    </row>
    <row r="437" spans="1:5" ht="26.25" x14ac:dyDescent="0.25">
      <c r="A437" s="86" t="s">
        <v>378</v>
      </c>
      <c r="B437" s="86" t="s">
        <v>371</v>
      </c>
      <c r="C437" s="86" t="s">
        <v>375</v>
      </c>
      <c r="D437" s="86" t="s">
        <v>393</v>
      </c>
      <c r="E437" s="86" t="s">
        <v>9</v>
      </c>
    </row>
    <row r="438" spans="1:5" ht="39" x14ac:dyDescent="0.25">
      <c r="A438" s="86" t="s">
        <v>378</v>
      </c>
      <c r="B438" s="86" t="s">
        <v>371</v>
      </c>
      <c r="C438" s="86" t="s">
        <v>375</v>
      </c>
      <c r="D438" s="86" t="s">
        <v>436</v>
      </c>
      <c r="E438" s="86" t="s">
        <v>9</v>
      </c>
    </row>
    <row r="439" spans="1:5" ht="51.75" x14ac:dyDescent="0.25">
      <c r="A439" s="86" t="s">
        <v>378</v>
      </c>
      <c r="B439" s="86" t="s">
        <v>371</v>
      </c>
      <c r="C439" s="86" t="s">
        <v>375</v>
      </c>
      <c r="D439" s="86" t="s">
        <v>429</v>
      </c>
      <c r="E439" s="86" t="s">
        <v>9</v>
      </c>
    </row>
    <row r="440" spans="1:5" ht="51.75" x14ac:dyDescent="0.25">
      <c r="A440" s="86" t="s">
        <v>378</v>
      </c>
      <c r="B440" s="86" t="s">
        <v>371</v>
      </c>
      <c r="C440" s="86" t="s">
        <v>375</v>
      </c>
      <c r="D440" s="86" t="s">
        <v>413</v>
      </c>
      <c r="E440" s="86" t="s">
        <v>9</v>
      </c>
    </row>
    <row r="441" spans="1:5" ht="51.75" x14ac:dyDescent="0.25">
      <c r="A441" s="86" t="s">
        <v>378</v>
      </c>
      <c r="B441" s="86" t="s">
        <v>371</v>
      </c>
      <c r="C441" s="86" t="s">
        <v>375</v>
      </c>
      <c r="D441" s="86" t="s">
        <v>422</v>
      </c>
      <c r="E441" s="86" t="s">
        <v>9</v>
      </c>
    </row>
    <row r="442" spans="1:5" ht="26.25" x14ac:dyDescent="0.25">
      <c r="A442" s="86" t="s">
        <v>378</v>
      </c>
      <c r="B442" s="86" t="s">
        <v>371</v>
      </c>
      <c r="C442" s="86" t="s">
        <v>375</v>
      </c>
      <c r="D442" s="86" t="s">
        <v>438</v>
      </c>
      <c r="E442" s="86" t="s">
        <v>9</v>
      </c>
    </row>
    <row r="443" spans="1:5" ht="39" x14ac:dyDescent="0.25">
      <c r="A443" s="86" t="s">
        <v>378</v>
      </c>
      <c r="B443" s="86" t="s">
        <v>371</v>
      </c>
      <c r="C443" s="86" t="s">
        <v>375</v>
      </c>
      <c r="D443" s="86" t="s">
        <v>427</v>
      </c>
      <c r="E443" s="86" t="s">
        <v>9</v>
      </c>
    </row>
    <row r="444" spans="1:5" ht="51.75" x14ac:dyDescent="0.25">
      <c r="A444" s="86" t="s">
        <v>378</v>
      </c>
      <c r="B444" s="86" t="s">
        <v>371</v>
      </c>
      <c r="C444" s="86" t="s">
        <v>375</v>
      </c>
      <c r="D444" s="86" t="s">
        <v>411</v>
      </c>
      <c r="E444" s="86" t="s">
        <v>9</v>
      </c>
    </row>
    <row r="445" spans="1:5" ht="51.75" x14ac:dyDescent="0.25">
      <c r="A445" s="86" t="s">
        <v>378</v>
      </c>
      <c r="B445" s="86" t="s">
        <v>371</v>
      </c>
      <c r="C445" s="86" t="s">
        <v>375</v>
      </c>
      <c r="D445" s="86" t="s">
        <v>420</v>
      </c>
      <c r="E445" s="86" t="s">
        <v>9</v>
      </c>
    </row>
    <row r="446" spans="1:5" ht="39" x14ac:dyDescent="0.25">
      <c r="A446" s="86" t="s">
        <v>378</v>
      </c>
      <c r="B446" s="86" t="s">
        <v>371</v>
      </c>
      <c r="C446" s="86" t="s">
        <v>375</v>
      </c>
      <c r="D446" s="86" t="s">
        <v>434</v>
      </c>
      <c r="E446" s="86" t="s">
        <v>9</v>
      </c>
    </row>
    <row r="447" spans="1:5" ht="51.75" x14ac:dyDescent="0.25">
      <c r="A447" s="86" t="s">
        <v>378</v>
      </c>
      <c r="B447" s="86" t="s">
        <v>371</v>
      </c>
      <c r="C447" s="86" t="s">
        <v>375</v>
      </c>
      <c r="D447" s="86" t="s">
        <v>431</v>
      </c>
      <c r="E447" s="86" t="s">
        <v>9</v>
      </c>
    </row>
    <row r="448" spans="1:5" ht="51.75" x14ac:dyDescent="0.25">
      <c r="A448" s="86" t="s">
        <v>378</v>
      </c>
      <c r="B448" s="86" t="s">
        <v>371</v>
      </c>
      <c r="C448" s="86" t="s">
        <v>375</v>
      </c>
      <c r="D448" s="86" t="s">
        <v>415</v>
      </c>
      <c r="E448" s="86" t="s">
        <v>9</v>
      </c>
    </row>
    <row r="449" spans="1:5" ht="51.75" x14ac:dyDescent="0.25">
      <c r="A449" s="86" t="s">
        <v>378</v>
      </c>
      <c r="B449" s="86" t="s">
        <v>371</v>
      </c>
      <c r="C449" s="86" t="s">
        <v>375</v>
      </c>
      <c r="D449" s="86" t="s">
        <v>424</v>
      </c>
      <c r="E449" s="86" t="s">
        <v>9</v>
      </c>
    </row>
    <row r="450" spans="1:5" ht="26.25" x14ac:dyDescent="0.25">
      <c r="A450" s="86" t="s">
        <v>378</v>
      </c>
      <c r="B450" s="86" t="s">
        <v>371</v>
      </c>
      <c r="C450" s="86" t="s">
        <v>375</v>
      </c>
      <c r="D450" s="86" t="s">
        <v>435</v>
      </c>
      <c r="E450" s="86" t="s">
        <v>9</v>
      </c>
    </row>
    <row r="451" spans="1:5" ht="39" x14ac:dyDescent="0.25">
      <c r="A451" s="86" t="s">
        <v>378</v>
      </c>
      <c r="B451" s="86" t="s">
        <v>371</v>
      </c>
      <c r="C451" s="86" t="s">
        <v>375</v>
      </c>
      <c r="D451" s="86" t="s">
        <v>430</v>
      </c>
      <c r="E451" s="86" t="s">
        <v>9</v>
      </c>
    </row>
    <row r="452" spans="1:5" ht="51.75" x14ac:dyDescent="0.25">
      <c r="A452" s="86" t="s">
        <v>378</v>
      </c>
      <c r="B452" s="86" t="s">
        <v>371</v>
      </c>
      <c r="C452" s="86" t="s">
        <v>375</v>
      </c>
      <c r="D452" s="86" t="s">
        <v>414</v>
      </c>
      <c r="E452" s="86" t="s">
        <v>9</v>
      </c>
    </row>
    <row r="453" spans="1:5" ht="51.75" x14ac:dyDescent="0.25">
      <c r="A453" s="86" t="s">
        <v>378</v>
      </c>
      <c r="B453" s="86" t="s">
        <v>371</v>
      </c>
      <c r="C453" s="86" t="s">
        <v>375</v>
      </c>
      <c r="D453" s="86" t="s">
        <v>423</v>
      </c>
      <c r="E453" s="86" t="s">
        <v>9</v>
      </c>
    </row>
    <row r="454" spans="1:5" ht="26.25" x14ac:dyDescent="0.25">
      <c r="A454" s="86" t="s">
        <v>378</v>
      </c>
      <c r="B454" s="86" t="s">
        <v>371</v>
      </c>
      <c r="C454" s="86" t="s">
        <v>375</v>
      </c>
      <c r="D454" s="86" t="s">
        <v>300</v>
      </c>
      <c r="E454" s="86" t="s">
        <v>9</v>
      </c>
    </row>
    <row r="455" spans="1:5" ht="39" x14ac:dyDescent="0.25">
      <c r="A455" s="86" t="s">
        <v>378</v>
      </c>
      <c r="B455" s="86" t="s">
        <v>371</v>
      </c>
      <c r="C455" s="86" t="s">
        <v>375</v>
      </c>
      <c r="D455" s="86" t="s">
        <v>417</v>
      </c>
      <c r="E455" s="86" t="s">
        <v>9</v>
      </c>
    </row>
    <row r="456" spans="1:5" ht="39" x14ac:dyDescent="0.25">
      <c r="A456" s="86" t="s">
        <v>378</v>
      </c>
      <c r="B456" s="86" t="s">
        <v>371</v>
      </c>
      <c r="C456" s="86" t="s">
        <v>375</v>
      </c>
      <c r="D456" s="86" t="s">
        <v>418</v>
      </c>
      <c r="E456" s="86" t="s">
        <v>9</v>
      </c>
    </row>
    <row r="457" spans="1:5" ht="26.25" x14ac:dyDescent="0.25">
      <c r="A457" s="86" t="s">
        <v>378</v>
      </c>
      <c r="B457" s="86" t="s">
        <v>371</v>
      </c>
      <c r="C457" s="86" t="s">
        <v>375</v>
      </c>
      <c r="D457" s="86" t="s">
        <v>307</v>
      </c>
      <c r="E457" s="86" t="s">
        <v>9</v>
      </c>
    </row>
    <row r="458" spans="1:5" ht="39" x14ac:dyDescent="0.25">
      <c r="A458" s="86" t="s">
        <v>378</v>
      </c>
      <c r="B458" s="86" t="s">
        <v>371</v>
      </c>
      <c r="C458" s="86" t="s">
        <v>375</v>
      </c>
      <c r="D458" s="86" t="s">
        <v>410</v>
      </c>
      <c r="E458" s="86" t="s">
        <v>9</v>
      </c>
    </row>
    <row r="459" spans="1:5" ht="26.25" x14ac:dyDescent="0.25">
      <c r="A459" s="86" t="s">
        <v>378</v>
      </c>
      <c r="B459" s="86" t="s">
        <v>371</v>
      </c>
      <c r="C459" s="86" t="s">
        <v>375</v>
      </c>
      <c r="D459" s="86" t="s">
        <v>426</v>
      </c>
      <c r="E459" s="86" t="s">
        <v>9</v>
      </c>
    </row>
    <row r="460" spans="1:5" ht="39" x14ac:dyDescent="0.25">
      <c r="A460" s="86" t="s">
        <v>378</v>
      </c>
      <c r="B460" s="86" t="s">
        <v>371</v>
      </c>
      <c r="C460" s="86" t="s">
        <v>375</v>
      </c>
      <c r="D460" s="86" t="s">
        <v>408</v>
      </c>
      <c r="E460" s="86" t="s">
        <v>9</v>
      </c>
    </row>
    <row r="461" spans="1:5" ht="26.25" x14ac:dyDescent="0.25">
      <c r="A461" s="86" t="s">
        <v>377</v>
      </c>
      <c r="B461" s="86" t="s">
        <v>294</v>
      </c>
      <c r="C461" s="86" t="s">
        <v>375</v>
      </c>
      <c r="D461" s="86" t="s">
        <v>258</v>
      </c>
      <c r="E461" s="86" t="s">
        <v>9</v>
      </c>
    </row>
    <row r="462" spans="1:5" ht="39" x14ac:dyDescent="0.25">
      <c r="A462" s="86" t="s">
        <v>377</v>
      </c>
      <c r="B462" s="86" t="s">
        <v>294</v>
      </c>
      <c r="C462" s="86" t="s">
        <v>375</v>
      </c>
      <c r="D462" s="86" t="s">
        <v>385</v>
      </c>
      <c r="E462" s="86" t="s">
        <v>9</v>
      </c>
    </row>
    <row r="463" spans="1:5" ht="51.75" x14ac:dyDescent="0.25">
      <c r="A463" s="86" t="s">
        <v>377</v>
      </c>
      <c r="B463" s="86" t="s">
        <v>294</v>
      </c>
      <c r="C463" s="86" t="s">
        <v>375</v>
      </c>
      <c r="D463" s="86" t="s">
        <v>386</v>
      </c>
      <c r="E463" s="86" t="s">
        <v>9</v>
      </c>
    </row>
    <row r="464" spans="1:5" ht="51.75" x14ac:dyDescent="0.25">
      <c r="A464" s="86" t="s">
        <v>377</v>
      </c>
      <c r="B464" s="86" t="s">
        <v>294</v>
      </c>
      <c r="C464" s="86" t="s">
        <v>375</v>
      </c>
      <c r="D464" s="86" t="s">
        <v>388</v>
      </c>
      <c r="E464" s="86" t="s">
        <v>9</v>
      </c>
    </row>
    <row r="465" spans="1:5" ht="51.75" x14ac:dyDescent="0.25">
      <c r="A465" s="86" t="s">
        <v>377</v>
      </c>
      <c r="B465" s="86" t="s">
        <v>294</v>
      </c>
      <c r="C465" s="86" t="s">
        <v>375</v>
      </c>
      <c r="D465" s="86" t="s">
        <v>387</v>
      </c>
      <c r="E465" s="86" t="s">
        <v>9</v>
      </c>
    </row>
    <row r="466" spans="1:5" ht="26.25" x14ac:dyDescent="0.25">
      <c r="A466" s="86" t="s">
        <v>377</v>
      </c>
      <c r="B466" s="86" t="s">
        <v>294</v>
      </c>
      <c r="C466" s="86" t="s">
        <v>375</v>
      </c>
      <c r="D466" s="86" t="s">
        <v>395</v>
      </c>
      <c r="E466" s="86" t="s">
        <v>9</v>
      </c>
    </row>
    <row r="467" spans="1:5" ht="39" x14ac:dyDescent="0.25">
      <c r="A467" s="86" t="s">
        <v>377</v>
      </c>
      <c r="B467" s="86" t="s">
        <v>294</v>
      </c>
      <c r="C467" s="86" t="s">
        <v>375</v>
      </c>
      <c r="D467" s="86" t="s">
        <v>396</v>
      </c>
      <c r="E467" s="86" t="s">
        <v>9</v>
      </c>
    </row>
    <row r="468" spans="1:5" ht="39" x14ac:dyDescent="0.25">
      <c r="A468" s="86" t="s">
        <v>377</v>
      </c>
      <c r="B468" s="86" t="s">
        <v>294</v>
      </c>
      <c r="C468" s="86" t="s">
        <v>375</v>
      </c>
      <c r="D468" s="86" t="s">
        <v>397</v>
      </c>
      <c r="E468" s="86" t="s">
        <v>9</v>
      </c>
    </row>
    <row r="469" spans="1:5" ht="39" x14ac:dyDescent="0.25">
      <c r="A469" s="86" t="s">
        <v>377</v>
      </c>
      <c r="B469" s="86" t="s">
        <v>294</v>
      </c>
      <c r="C469" s="86" t="s">
        <v>375</v>
      </c>
      <c r="D469" s="86" t="s">
        <v>398</v>
      </c>
      <c r="E469" s="86" t="s">
        <v>9</v>
      </c>
    </row>
    <row r="470" spans="1:5" ht="26.25" x14ac:dyDescent="0.25">
      <c r="A470" s="86" t="s">
        <v>377</v>
      </c>
      <c r="B470" s="86" t="s">
        <v>294</v>
      </c>
      <c r="C470" s="86" t="s">
        <v>375</v>
      </c>
      <c r="D470" s="86" t="s">
        <v>407</v>
      </c>
      <c r="E470" s="86" t="s">
        <v>9</v>
      </c>
    </row>
    <row r="471" spans="1:5" ht="26.25" x14ac:dyDescent="0.25">
      <c r="A471" s="86" t="s">
        <v>377</v>
      </c>
      <c r="B471" s="86" t="s">
        <v>294</v>
      </c>
      <c r="C471" s="86" t="s">
        <v>375</v>
      </c>
      <c r="D471" s="86" t="s">
        <v>393</v>
      </c>
      <c r="E471" s="86" t="s">
        <v>9</v>
      </c>
    </row>
    <row r="472" spans="1:5" ht="39" x14ac:dyDescent="0.25">
      <c r="A472" s="86" t="s">
        <v>377</v>
      </c>
      <c r="B472" s="86" t="s">
        <v>294</v>
      </c>
      <c r="C472" s="86" t="s">
        <v>375</v>
      </c>
      <c r="D472" s="86" t="s">
        <v>436</v>
      </c>
      <c r="E472" s="86" t="s">
        <v>9</v>
      </c>
    </row>
    <row r="473" spans="1:5" ht="51.75" x14ac:dyDescent="0.25">
      <c r="A473" s="86" t="s">
        <v>377</v>
      </c>
      <c r="B473" s="86" t="s">
        <v>294</v>
      </c>
      <c r="C473" s="86" t="s">
        <v>375</v>
      </c>
      <c r="D473" s="86" t="s">
        <v>429</v>
      </c>
      <c r="E473" s="86" t="s">
        <v>9</v>
      </c>
    </row>
    <row r="474" spans="1:5" ht="51.75" x14ac:dyDescent="0.25">
      <c r="A474" s="86" t="s">
        <v>377</v>
      </c>
      <c r="B474" s="86" t="s">
        <v>294</v>
      </c>
      <c r="C474" s="86" t="s">
        <v>375</v>
      </c>
      <c r="D474" s="86" t="s">
        <v>422</v>
      </c>
      <c r="E474" s="86" t="s">
        <v>9</v>
      </c>
    </row>
    <row r="475" spans="1:5" ht="51.75" x14ac:dyDescent="0.25">
      <c r="A475" s="86" t="s">
        <v>377</v>
      </c>
      <c r="B475" s="86" t="s">
        <v>294</v>
      </c>
      <c r="C475" s="86" t="s">
        <v>375</v>
      </c>
      <c r="D475" s="86" t="s">
        <v>413</v>
      </c>
      <c r="E475" s="86" t="s">
        <v>9</v>
      </c>
    </row>
    <row r="476" spans="1:5" ht="26.25" x14ac:dyDescent="0.25">
      <c r="A476" s="86" t="s">
        <v>377</v>
      </c>
      <c r="B476" s="86" t="s">
        <v>294</v>
      </c>
      <c r="C476" s="86" t="s">
        <v>375</v>
      </c>
      <c r="D476" s="86" t="s">
        <v>438</v>
      </c>
      <c r="E476" s="86" t="s">
        <v>9</v>
      </c>
    </row>
    <row r="477" spans="1:5" ht="39" x14ac:dyDescent="0.25">
      <c r="A477" s="86" t="s">
        <v>377</v>
      </c>
      <c r="B477" s="86" t="s">
        <v>294</v>
      </c>
      <c r="C477" s="86" t="s">
        <v>375</v>
      </c>
      <c r="D477" s="86" t="s">
        <v>427</v>
      </c>
      <c r="E477" s="86" t="s">
        <v>9</v>
      </c>
    </row>
    <row r="478" spans="1:5" ht="51.75" x14ac:dyDescent="0.25">
      <c r="A478" s="86" t="s">
        <v>377</v>
      </c>
      <c r="B478" s="86" t="s">
        <v>294</v>
      </c>
      <c r="C478" s="86" t="s">
        <v>375</v>
      </c>
      <c r="D478" s="86" t="s">
        <v>420</v>
      </c>
      <c r="E478" s="86" t="s">
        <v>9</v>
      </c>
    </row>
    <row r="479" spans="1:5" ht="51.75" x14ac:dyDescent="0.25">
      <c r="A479" s="86" t="s">
        <v>377</v>
      </c>
      <c r="B479" s="86" t="s">
        <v>294</v>
      </c>
      <c r="C479" s="86" t="s">
        <v>375</v>
      </c>
      <c r="D479" s="86" t="s">
        <v>411</v>
      </c>
      <c r="E479" s="86" t="s">
        <v>9</v>
      </c>
    </row>
    <row r="480" spans="1:5" ht="26.25" x14ac:dyDescent="0.25">
      <c r="A480" s="86" t="s">
        <v>377</v>
      </c>
      <c r="B480" s="86" t="s">
        <v>294</v>
      </c>
      <c r="C480" s="86" t="s">
        <v>375</v>
      </c>
      <c r="D480" s="86" t="s">
        <v>300</v>
      </c>
      <c r="E480" s="86" t="s">
        <v>9</v>
      </c>
    </row>
    <row r="481" spans="1:5" ht="26.25" x14ac:dyDescent="0.25">
      <c r="A481" s="86" t="s">
        <v>377</v>
      </c>
      <c r="B481" s="86" t="s">
        <v>294</v>
      </c>
      <c r="C481" s="86" t="s">
        <v>375</v>
      </c>
      <c r="D481" s="86" t="s">
        <v>307</v>
      </c>
      <c r="E481" s="86" t="s">
        <v>9</v>
      </c>
    </row>
    <row r="482" spans="1:5" ht="39" x14ac:dyDescent="0.25">
      <c r="A482" s="86" t="s">
        <v>377</v>
      </c>
      <c r="B482" s="86" t="s">
        <v>294</v>
      </c>
      <c r="C482" s="86" t="s">
        <v>375</v>
      </c>
      <c r="D482" s="86" t="s">
        <v>410</v>
      </c>
      <c r="E482" s="86" t="s">
        <v>9</v>
      </c>
    </row>
    <row r="483" spans="1:5" ht="51.75" x14ac:dyDescent="0.25">
      <c r="A483" s="86" t="s">
        <v>377</v>
      </c>
      <c r="B483" s="86" t="s">
        <v>294</v>
      </c>
      <c r="C483" s="86" t="s">
        <v>375</v>
      </c>
      <c r="D483" s="86" t="s">
        <v>414</v>
      </c>
      <c r="E483" s="86" t="s">
        <v>9</v>
      </c>
    </row>
    <row r="484" spans="1:5" ht="51.75" x14ac:dyDescent="0.25">
      <c r="A484" s="86" t="s">
        <v>377</v>
      </c>
      <c r="B484" s="86" t="s">
        <v>294</v>
      </c>
      <c r="C484" s="86" t="s">
        <v>375</v>
      </c>
      <c r="D484" s="86" t="s">
        <v>415</v>
      </c>
      <c r="E484" s="86" t="s">
        <v>9</v>
      </c>
    </row>
    <row r="485" spans="1:5" ht="39" x14ac:dyDescent="0.25">
      <c r="A485" s="86" t="s">
        <v>377</v>
      </c>
      <c r="B485" s="86" t="s">
        <v>294</v>
      </c>
      <c r="C485" s="86" t="s">
        <v>375</v>
      </c>
      <c r="D485" s="86" t="s">
        <v>417</v>
      </c>
      <c r="E485" s="86" t="s">
        <v>9</v>
      </c>
    </row>
    <row r="486" spans="1:5" ht="39" x14ac:dyDescent="0.25">
      <c r="A486" s="86" t="s">
        <v>377</v>
      </c>
      <c r="B486" s="86" t="s">
        <v>294</v>
      </c>
      <c r="C486" s="86" t="s">
        <v>375</v>
      </c>
      <c r="D486" s="86" t="s">
        <v>418</v>
      </c>
      <c r="E486" s="86" t="s">
        <v>9</v>
      </c>
    </row>
    <row r="487" spans="1:5" ht="51.75" x14ac:dyDescent="0.25">
      <c r="A487" s="86" t="s">
        <v>377</v>
      </c>
      <c r="B487" s="86" t="s">
        <v>294</v>
      </c>
      <c r="C487" s="86" t="s">
        <v>375</v>
      </c>
      <c r="D487" s="86" t="s">
        <v>423</v>
      </c>
      <c r="E487" s="86" t="s">
        <v>9</v>
      </c>
    </row>
    <row r="488" spans="1:5" ht="51.75" x14ac:dyDescent="0.25">
      <c r="A488" s="86" t="s">
        <v>377</v>
      </c>
      <c r="B488" s="86" t="s">
        <v>294</v>
      </c>
      <c r="C488" s="86" t="s">
        <v>375</v>
      </c>
      <c r="D488" s="86" t="s">
        <v>424</v>
      </c>
      <c r="E488" s="86" t="s">
        <v>9</v>
      </c>
    </row>
    <row r="489" spans="1:5" ht="26.25" x14ac:dyDescent="0.25">
      <c r="A489" s="86" t="s">
        <v>377</v>
      </c>
      <c r="B489" s="86" t="s">
        <v>294</v>
      </c>
      <c r="C489" s="86" t="s">
        <v>375</v>
      </c>
      <c r="D489" s="86" t="s">
        <v>426</v>
      </c>
      <c r="E489" s="86" t="s">
        <v>9</v>
      </c>
    </row>
    <row r="490" spans="1:5" ht="39" x14ac:dyDescent="0.25">
      <c r="A490" s="86" t="s">
        <v>377</v>
      </c>
      <c r="B490" s="86" t="s">
        <v>294</v>
      </c>
      <c r="C490" s="86" t="s">
        <v>375</v>
      </c>
      <c r="D490" s="86" t="s">
        <v>408</v>
      </c>
      <c r="E490" s="86" t="s">
        <v>9</v>
      </c>
    </row>
    <row r="491" spans="1:5" ht="39" x14ac:dyDescent="0.25">
      <c r="A491" s="86" t="s">
        <v>377</v>
      </c>
      <c r="B491" s="86" t="s">
        <v>294</v>
      </c>
      <c r="C491" s="86" t="s">
        <v>375</v>
      </c>
      <c r="D491" s="86" t="s">
        <v>430</v>
      </c>
      <c r="E491" s="86" t="s">
        <v>9</v>
      </c>
    </row>
    <row r="492" spans="1:5" ht="51.75" x14ac:dyDescent="0.25">
      <c r="A492" s="86" t="s">
        <v>377</v>
      </c>
      <c r="B492" s="86" t="s">
        <v>294</v>
      </c>
      <c r="C492" s="86" t="s">
        <v>375</v>
      </c>
      <c r="D492" s="86" t="s">
        <v>431</v>
      </c>
      <c r="E492" s="86" t="s">
        <v>9</v>
      </c>
    </row>
    <row r="493" spans="1:5" ht="39" x14ac:dyDescent="0.25">
      <c r="A493" s="86" t="s">
        <v>377</v>
      </c>
      <c r="B493" s="86" t="s">
        <v>294</v>
      </c>
      <c r="C493" s="86" t="s">
        <v>375</v>
      </c>
      <c r="D493" s="86" t="s">
        <v>434</v>
      </c>
      <c r="E493" s="86" t="s">
        <v>9</v>
      </c>
    </row>
    <row r="494" spans="1:5" ht="26.25" x14ac:dyDescent="0.25">
      <c r="A494" s="86" t="s">
        <v>377</v>
      </c>
      <c r="B494" s="86" t="s">
        <v>294</v>
      </c>
      <c r="C494" s="86" t="s">
        <v>375</v>
      </c>
      <c r="D494" s="86" t="s">
        <v>435</v>
      </c>
      <c r="E494" s="86" t="s">
        <v>9</v>
      </c>
    </row>
    <row r="495" spans="1:5" ht="26.25" x14ac:dyDescent="0.25">
      <c r="A495" s="86" t="s">
        <v>376</v>
      </c>
      <c r="B495" s="86" t="s">
        <v>296</v>
      </c>
      <c r="C495" s="86" t="s">
        <v>375</v>
      </c>
      <c r="D495" s="86" t="s">
        <v>258</v>
      </c>
      <c r="E495" s="86" t="s">
        <v>9</v>
      </c>
    </row>
    <row r="496" spans="1:5" ht="39" x14ac:dyDescent="0.25">
      <c r="A496" s="86" t="s">
        <v>376</v>
      </c>
      <c r="B496" s="86" t="s">
        <v>296</v>
      </c>
      <c r="C496" s="86" t="s">
        <v>375</v>
      </c>
      <c r="D496" s="86" t="s">
        <v>385</v>
      </c>
      <c r="E496" s="86" t="s">
        <v>9</v>
      </c>
    </row>
    <row r="497" spans="1:5" ht="51.75" x14ac:dyDescent="0.25">
      <c r="A497" s="86" t="s">
        <v>376</v>
      </c>
      <c r="B497" s="86" t="s">
        <v>296</v>
      </c>
      <c r="C497" s="86" t="s">
        <v>375</v>
      </c>
      <c r="D497" s="86" t="s">
        <v>386</v>
      </c>
      <c r="E497" s="86" t="s">
        <v>9</v>
      </c>
    </row>
    <row r="498" spans="1:5" ht="51.75" x14ac:dyDescent="0.25">
      <c r="A498" s="86" t="s">
        <v>376</v>
      </c>
      <c r="B498" s="86" t="s">
        <v>296</v>
      </c>
      <c r="C498" s="86" t="s">
        <v>375</v>
      </c>
      <c r="D498" s="86" t="s">
        <v>388</v>
      </c>
      <c r="E498" s="86" t="s">
        <v>9</v>
      </c>
    </row>
    <row r="499" spans="1:5" ht="51.75" x14ac:dyDescent="0.25">
      <c r="A499" s="86" t="s">
        <v>376</v>
      </c>
      <c r="B499" s="86" t="s">
        <v>296</v>
      </c>
      <c r="C499" s="86" t="s">
        <v>375</v>
      </c>
      <c r="D499" s="86" t="s">
        <v>387</v>
      </c>
      <c r="E499" s="86" t="s">
        <v>9</v>
      </c>
    </row>
    <row r="500" spans="1:5" ht="26.25" x14ac:dyDescent="0.25">
      <c r="A500" s="86" t="s">
        <v>376</v>
      </c>
      <c r="B500" s="86" t="s">
        <v>296</v>
      </c>
      <c r="C500" s="86" t="s">
        <v>375</v>
      </c>
      <c r="D500" s="86" t="s">
        <v>395</v>
      </c>
      <c r="E500" s="86" t="s">
        <v>9</v>
      </c>
    </row>
    <row r="501" spans="1:5" ht="39" x14ac:dyDescent="0.25">
      <c r="A501" s="86" t="s">
        <v>376</v>
      </c>
      <c r="B501" s="86" t="s">
        <v>296</v>
      </c>
      <c r="C501" s="86" t="s">
        <v>375</v>
      </c>
      <c r="D501" s="86" t="s">
        <v>396</v>
      </c>
      <c r="E501" s="86" t="s">
        <v>9</v>
      </c>
    </row>
    <row r="502" spans="1:5" ht="39" x14ac:dyDescent="0.25">
      <c r="A502" s="86" t="s">
        <v>376</v>
      </c>
      <c r="B502" s="86" t="s">
        <v>296</v>
      </c>
      <c r="C502" s="86" t="s">
        <v>375</v>
      </c>
      <c r="D502" s="86" t="s">
        <v>397</v>
      </c>
      <c r="E502" s="86" t="s">
        <v>9</v>
      </c>
    </row>
    <row r="503" spans="1:5" ht="39" x14ac:dyDescent="0.25">
      <c r="A503" s="86" t="s">
        <v>376</v>
      </c>
      <c r="B503" s="86" t="s">
        <v>296</v>
      </c>
      <c r="C503" s="86" t="s">
        <v>375</v>
      </c>
      <c r="D503" s="86" t="s">
        <v>398</v>
      </c>
      <c r="E503" s="86" t="s">
        <v>9</v>
      </c>
    </row>
    <row r="504" spans="1:5" ht="26.25" x14ac:dyDescent="0.25">
      <c r="A504" s="86" t="s">
        <v>376</v>
      </c>
      <c r="B504" s="86" t="s">
        <v>296</v>
      </c>
      <c r="C504" s="86" t="s">
        <v>375</v>
      </c>
      <c r="D504" s="86" t="s">
        <v>407</v>
      </c>
      <c r="E504" s="86" t="s">
        <v>9</v>
      </c>
    </row>
    <row r="505" spans="1:5" ht="26.25" x14ac:dyDescent="0.25">
      <c r="A505" s="86" t="s">
        <v>376</v>
      </c>
      <c r="B505" s="86" t="s">
        <v>296</v>
      </c>
      <c r="C505" s="86" t="s">
        <v>375</v>
      </c>
      <c r="D505" s="86" t="s">
        <v>393</v>
      </c>
      <c r="E505" s="86" t="s">
        <v>9</v>
      </c>
    </row>
    <row r="506" spans="1:5" ht="39" x14ac:dyDescent="0.25">
      <c r="A506" s="86" t="s">
        <v>376</v>
      </c>
      <c r="B506" s="86" t="s">
        <v>296</v>
      </c>
      <c r="C506" s="86" t="s">
        <v>375</v>
      </c>
      <c r="D506" s="86" t="s">
        <v>434</v>
      </c>
      <c r="E506" s="86" t="s">
        <v>9</v>
      </c>
    </row>
    <row r="507" spans="1:5" ht="51.75" x14ac:dyDescent="0.25">
      <c r="A507" s="86" t="s">
        <v>376</v>
      </c>
      <c r="B507" s="86" t="s">
        <v>296</v>
      </c>
      <c r="C507" s="86" t="s">
        <v>375</v>
      </c>
      <c r="D507" s="86" t="s">
        <v>431</v>
      </c>
      <c r="E507" s="86" t="s">
        <v>9</v>
      </c>
    </row>
    <row r="508" spans="1:5" ht="51.75" x14ac:dyDescent="0.25">
      <c r="A508" s="86" t="s">
        <v>376</v>
      </c>
      <c r="B508" s="86" t="s">
        <v>296</v>
      </c>
      <c r="C508" s="86" t="s">
        <v>375</v>
      </c>
      <c r="D508" s="86" t="s">
        <v>424</v>
      </c>
      <c r="E508" s="86" t="s">
        <v>9</v>
      </c>
    </row>
    <row r="509" spans="1:5" ht="51.75" x14ac:dyDescent="0.25">
      <c r="A509" s="86" t="s">
        <v>376</v>
      </c>
      <c r="B509" s="86" t="s">
        <v>296</v>
      </c>
      <c r="C509" s="86" t="s">
        <v>375</v>
      </c>
      <c r="D509" s="86" t="s">
        <v>415</v>
      </c>
      <c r="E509" s="86" t="s">
        <v>9</v>
      </c>
    </row>
    <row r="510" spans="1:5" ht="26.25" x14ac:dyDescent="0.25">
      <c r="A510" s="86" t="s">
        <v>376</v>
      </c>
      <c r="B510" s="86" t="s">
        <v>296</v>
      </c>
      <c r="C510" s="86" t="s">
        <v>375</v>
      </c>
      <c r="D510" s="86" t="s">
        <v>435</v>
      </c>
      <c r="E510" s="86" t="s">
        <v>9</v>
      </c>
    </row>
    <row r="511" spans="1:5" ht="39" x14ac:dyDescent="0.25">
      <c r="A511" s="86" t="s">
        <v>376</v>
      </c>
      <c r="B511" s="86" t="s">
        <v>296</v>
      </c>
      <c r="C511" s="86" t="s">
        <v>375</v>
      </c>
      <c r="D511" s="86" t="s">
        <v>430</v>
      </c>
      <c r="E511" s="86" t="s">
        <v>9</v>
      </c>
    </row>
    <row r="512" spans="1:5" ht="51.75" x14ac:dyDescent="0.25">
      <c r="A512" s="86" t="s">
        <v>376</v>
      </c>
      <c r="B512" s="86" t="s">
        <v>296</v>
      </c>
      <c r="C512" s="86" t="s">
        <v>375</v>
      </c>
      <c r="D512" s="86" t="s">
        <v>423</v>
      </c>
      <c r="E512" s="86" t="s">
        <v>9</v>
      </c>
    </row>
    <row r="513" spans="1:5" ht="51.75" x14ac:dyDescent="0.25">
      <c r="A513" s="86" t="s">
        <v>376</v>
      </c>
      <c r="B513" s="86" t="s">
        <v>296</v>
      </c>
      <c r="C513" s="86" t="s">
        <v>375</v>
      </c>
      <c r="D513" s="86" t="s">
        <v>414</v>
      </c>
      <c r="E513" s="86" t="s">
        <v>9</v>
      </c>
    </row>
    <row r="514" spans="1:5" ht="39" x14ac:dyDescent="0.25">
      <c r="A514" s="86" t="s">
        <v>376</v>
      </c>
      <c r="B514" s="86" t="s">
        <v>296</v>
      </c>
      <c r="C514" s="86" t="s">
        <v>375</v>
      </c>
      <c r="D514" s="86" t="s">
        <v>436</v>
      </c>
      <c r="E514" s="86" t="s">
        <v>9</v>
      </c>
    </row>
    <row r="515" spans="1:5" ht="51.75" x14ac:dyDescent="0.25">
      <c r="A515" s="86" t="s">
        <v>376</v>
      </c>
      <c r="B515" s="86" t="s">
        <v>296</v>
      </c>
      <c r="C515" s="86" t="s">
        <v>375</v>
      </c>
      <c r="D515" s="86" t="s">
        <v>429</v>
      </c>
      <c r="E515" s="86" t="s">
        <v>9</v>
      </c>
    </row>
    <row r="516" spans="1:5" ht="51.75" x14ac:dyDescent="0.25">
      <c r="A516" s="86" t="s">
        <v>376</v>
      </c>
      <c r="B516" s="86" t="s">
        <v>296</v>
      </c>
      <c r="C516" s="86" t="s">
        <v>375</v>
      </c>
      <c r="D516" s="86" t="s">
        <v>422</v>
      </c>
      <c r="E516" s="86" t="s">
        <v>9</v>
      </c>
    </row>
    <row r="517" spans="1:5" ht="51.75" x14ac:dyDescent="0.25">
      <c r="A517" s="86" t="s">
        <v>376</v>
      </c>
      <c r="B517" s="86" t="s">
        <v>296</v>
      </c>
      <c r="C517" s="86" t="s">
        <v>375</v>
      </c>
      <c r="D517" s="86" t="s">
        <v>413</v>
      </c>
      <c r="E517" s="86" t="s">
        <v>9</v>
      </c>
    </row>
    <row r="518" spans="1:5" ht="26.25" x14ac:dyDescent="0.25">
      <c r="A518" s="86" t="s">
        <v>376</v>
      </c>
      <c r="B518" s="86" t="s">
        <v>296</v>
      </c>
      <c r="C518" s="86" t="s">
        <v>375</v>
      </c>
      <c r="D518" s="86" t="s">
        <v>438</v>
      </c>
      <c r="E518" s="86" t="s">
        <v>9</v>
      </c>
    </row>
    <row r="519" spans="1:5" ht="39" x14ac:dyDescent="0.25">
      <c r="A519" s="86" t="s">
        <v>376</v>
      </c>
      <c r="B519" s="86" t="s">
        <v>296</v>
      </c>
      <c r="C519" s="86" t="s">
        <v>375</v>
      </c>
      <c r="D519" s="86" t="s">
        <v>427</v>
      </c>
      <c r="E519" s="86" t="s">
        <v>9</v>
      </c>
    </row>
    <row r="520" spans="1:5" ht="51.75" x14ac:dyDescent="0.25">
      <c r="A520" s="86" t="s">
        <v>376</v>
      </c>
      <c r="B520" s="86" t="s">
        <v>296</v>
      </c>
      <c r="C520" s="86" t="s">
        <v>375</v>
      </c>
      <c r="D520" s="86" t="s">
        <v>420</v>
      </c>
      <c r="E520" s="86" t="s">
        <v>9</v>
      </c>
    </row>
    <row r="521" spans="1:5" ht="51.75" x14ac:dyDescent="0.25">
      <c r="A521" s="86" t="s">
        <v>376</v>
      </c>
      <c r="B521" s="86" t="s">
        <v>296</v>
      </c>
      <c r="C521" s="86" t="s">
        <v>375</v>
      </c>
      <c r="D521" s="86" t="s">
        <v>411</v>
      </c>
      <c r="E521" s="86" t="s">
        <v>9</v>
      </c>
    </row>
    <row r="522" spans="1:5" ht="26.25" x14ac:dyDescent="0.25">
      <c r="A522" s="86" t="s">
        <v>376</v>
      </c>
      <c r="B522" s="86" t="s">
        <v>296</v>
      </c>
      <c r="C522" s="86" t="s">
        <v>375</v>
      </c>
      <c r="D522" s="86" t="s">
        <v>300</v>
      </c>
      <c r="E522" s="86" t="s">
        <v>9</v>
      </c>
    </row>
    <row r="523" spans="1:5" ht="26.25" x14ac:dyDescent="0.25">
      <c r="A523" s="86" t="s">
        <v>376</v>
      </c>
      <c r="B523" s="86" t="s">
        <v>296</v>
      </c>
      <c r="C523" s="86" t="s">
        <v>375</v>
      </c>
      <c r="D523" s="86" t="s">
        <v>307</v>
      </c>
      <c r="E523" s="86" t="s">
        <v>9</v>
      </c>
    </row>
    <row r="524" spans="1:5" ht="39" x14ac:dyDescent="0.25">
      <c r="A524" s="86" t="s">
        <v>376</v>
      </c>
      <c r="B524" s="86" t="s">
        <v>296</v>
      </c>
      <c r="C524" s="86" t="s">
        <v>375</v>
      </c>
      <c r="D524" s="86" t="s">
        <v>410</v>
      </c>
      <c r="E524" s="86" t="s">
        <v>9</v>
      </c>
    </row>
    <row r="525" spans="1:5" ht="39" x14ac:dyDescent="0.25">
      <c r="A525" s="86" t="s">
        <v>376</v>
      </c>
      <c r="B525" s="86" t="s">
        <v>296</v>
      </c>
      <c r="C525" s="86" t="s">
        <v>375</v>
      </c>
      <c r="D525" s="86" t="s">
        <v>417</v>
      </c>
      <c r="E525" s="86" t="s">
        <v>9</v>
      </c>
    </row>
    <row r="526" spans="1:5" ht="39" x14ac:dyDescent="0.25">
      <c r="A526" s="86" t="s">
        <v>376</v>
      </c>
      <c r="B526" s="86" t="s">
        <v>296</v>
      </c>
      <c r="C526" s="86" t="s">
        <v>375</v>
      </c>
      <c r="D526" s="86" t="s">
        <v>418</v>
      </c>
      <c r="E526" s="86" t="s">
        <v>9</v>
      </c>
    </row>
    <row r="527" spans="1:5" ht="26.25" x14ac:dyDescent="0.25">
      <c r="A527" s="86" t="s">
        <v>376</v>
      </c>
      <c r="B527" s="86" t="s">
        <v>296</v>
      </c>
      <c r="C527" s="86" t="s">
        <v>375</v>
      </c>
      <c r="D527" s="86" t="s">
        <v>426</v>
      </c>
      <c r="E527" s="86" t="s">
        <v>9</v>
      </c>
    </row>
    <row r="528" spans="1:5" ht="39" x14ac:dyDescent="0.25">
      <c r="A528" s="86" t="s">
        <v>376</v>
      </c>
      <c r="B528" s="86" t="s">
        <v>296</v>
      </c>
      <c r="C528" s="86" t="s">
        <v>375</v>
      </c>
      <c r="D528" s="86" t="s">
        <v>408</v>
      </c>
      <c r="E528" s="86" t="s">
        <v>9</v>
      </c>
    </row>
    <row r="529" spans="1:5" ht="26.25" x14ac:dyDescent="0.25">
      <c r="A529" s="86" t="s">
        <v>374</v>
      </c>
      <c r="B529" s="86" t="s">
        <v>298</v>
      </c>
      <c r="C529" s="86" t="s">
        <v>375</v>
      </c>
      <c r="D529" s="86" t="s">
        <v>258</v>
      </c>
      <c r="E529" s="86" t="s">
        <v>9</v>
      </c>
    </row>
    <row r="530" spans="1:5" ht="39" x14ac:dyDescent="0.25">
      <c r="A530" s="86" t="s">
        <v>374</v>
      </c>
      <c r="B530" s="86" t="s">
        <v>298</v>
      </c>
      <c r="C530" s="86" t="s">
        <v>375</v>
      </c>
      <c r="D530" s="86" t="s">
        <v>385</v>
      </c>
      <c r="E530" s="86" t="s">
        <v>9</v>
      </c>
    </row>
    <row r="531" spans="1:5" ht="51.75" x14ac:dyDescent="0.25">
      <c r="A531" s="86" t="s">
        <v>374</v>
      </c>
      <c r="B531" s="86" t="s">
        <v>298</v>
      </c>
      <c r="C531" s="86" t="s">
        <v>375</v>
      </c>
      <c r="D531" s="86" t="s">
        <v>386</v>
      </c>
      <c r="E531" s="86" t="s">
        <v>9</v>
      </c>
    </row>
    <row r="532" spans="1:5" ht="51.75" x14ac:dyDescent="0.25">
      <c r="A532" s="86" t="s">
        <v>374</v>
      </c>
      <c r="B532" s="86" t="s">
        <v>298</v>
      </c>
      <c r="C532" s="86" t="s">
        <v>375</v>
      </c>
      <c r="D532" s="86" t="s">
        <v>388</v>
      </c>
      <c r="E532" s="86" t="s">
        <v>9</v>
      </c>
    </row>
    <row r="533" spans="1:5" ht="51.75" x14ac:dyDescent="0.25">
      <c r="A533" s="86" t="s">
        <v>374</v>
      </c>
      <c r="B533" s="86" t="s">
        <v>298</v>
      </c>
      <c r="C533" s="86" t="s">
        <v>375</v>
      </c>
      <c r="D533" s="86" t="s">
        <v>387</v>
      </c>
      <c r="E533" s="86" t="s">
        <v>9</v>
      </c>
    </row>
    <row r="534" spans="1:5" ht="26.25" x14ac:dyDescent="0.25">
      <c r="A534" s="86" t="s">
        <v>374</v>
      </c>
      <c r="B534" s="86" t="s">
        <v>298</v>
      </c>
      <c r="C534" s="86" t="s">
        <v>375</v>
      </c>
      <c r="D534" s="86" t="s">
        <v>395</v>
      </c>
      <c r="E534" s="86" t="s">
        <v>9</v>
      </c>
    </row>
    <row r="535" spans="1:5" ht="39" x14ac:dyDescent="0.25">
      <c r="A535" s="86" t="s">
        <v>374</v>
      </c>
      <c r="B535" s="86" t="s">
        <v>298</v>
      </c>
      <c r="C535" s="86" t="s">
        <v>375</v>
      </c>
      <c r="D535" s="86" t="s">
        <v>396</v>
      </c>
      <c r="E535" s="86" t="s">
        <v>9</v>
      </c>
    </row>
    <row r="536" spans="1:5" ht="39" x14ac:dyDescent="0.25">
      <c r="A536" s="86" t="s">
        <v>374</v>
      </c>
      <c r="B536" s="86" t="s">
        <v>298</v>
      </c>
      <c r="C536" s="86" t="s">
        <v>375</v>
      </c>
      <c r="D536" s="86" t="s">
        <v>397</v>
      </c>
      <c r="E536" s="86" t="s">
        <v>9</v>
      </c>
    </row>
    <row r="537" spans="1:5" ht="39" x14ac:dyDescent="0.25">
      <c r="A537" s="86" t="s">
        <v>374</v>
      </c>
      <c r="B537" s="86" t="s">
        <v>298</v>
      </c>
      <c r="C537" s="86" t="s">
        <v>375</v>
      </c>
      <c r="D537" s="86" t="s">
        <v>398</v>
      </c>
      <c r="E537" s="86" t="s">
        <v>9</v>
      </c>
    </row>
    <row r="538" spans="1:5" ht="26.25" x14ac:dyDescent="0.25">
      <c r="A538" s="86" t="s">
        <v>374</v>
      </c>
      <c r="B538" s="86" t="s">
        <v>298</v>
      </c>
      <c r="C538" s="86" t="s">
        <v>375</v>
      </c>
      <c r="D538" s="86" t="s">
        <v>407</v>
      </c>
      <c r="E538" s="86" t="s">
        <v>9</v>
      </c>
    </row>
    <row r="539" spans="1:5" ht="26.25" x14ac:dyDescent="0.25">
      <c r="A539" s="86" t="s">
        <v>374</v>
      </c>
      <c r="B539" s="86" t="s">
        <v>298</v>
      </c>
      <c r="C539" s="86" t="s">
        <v>375</v>
      </c>
      <c r="D539" s="86" t="s">
        <v>393</v>
      </c>
      <c r="E539" s="86" t="s">
        <v>9</v>
      </c>
    </row>
    <row r="540" spans="1:5" ht="26.25" x14ac:dyDescent="0.25">
      <c r="A540" s="86" t="s">
        <v>374</v>
      </c>
      <c r="B540" s="86" t="s">
        <v>298</v>
      </c>
      <c r="C540" s="86" t="s">
        <v>375</v>
      </c>
      <c r="D540" s="86" t="s">
        <v>300</v>
      </c>
      <c r="E540" s="86" t="s">
        <v>9</v>
      </c>
    </row>
    <row r="541" spans="1:5" ht="26.25" x14ac:dyDescent="0.25">
      <c r="A541" s="86" t="s">
        <v>374</v>
      </c>
      <c r="B541" s="86" t="s">
        <v>298</v>
      </c>
      <c r="C541" s="86" t="s">
        <v>375</v>
      </c>
      <c r="D541" s="86" t="s">
        <v>307</v>
      </c>
      <c r="E541" s="86" t="s">
        <v>9</v>
      </c>
    </row>
    <row r="542" spans="1:5" ht="39" x14ac:dyDescent="0.25">
      <c r="A542" s="86" t="s">
        <v>374</v>
      </c>
      <c r="B542" s="86" t="s">
        <v>298</v>
      </c>
      <c r="C542" s="86" t="s">
        <v>375</v>
      </c>
      <c r="D542" s="86" t="s">
        <v>410</v>
      </c>
      <c r="E542" s="86" t="s">
        <v>9</v>
      </c>
    </row>
    <row r="543" spans="1:5" ht="51.75" x14ac:dyDescent="0.25">
      <c r="A543" s="86" t="s">
        <v>374</v>
      </c>
      <c r="B543" s="86" t="s">
        <v>298</v>
      </c>
      <c r="C543" s="86" t="s">
        <v>375</v>
      </c>
      <c r="D543" s="86" t="s">
        <v>411</v>
      </c>
      <c r="E543" s="86" t="s">
        <v>9</v>
      </c>
    </row>
    <row r="544" spans="1:5" ht="51.75" x14ac:dyDescent="0.25">
      <c r="A544" s="86" t="s">
        <v>374</v>
      </c>
      <c r="B544" s="86" t="s">
        <v>298</v>
      </c>
      <c r="C544" s="86" t="s">
        <v>375</v>
      </c>
      <c r="D544" s="86" t="s">
        <v>413</v>
      </c>
      <c r="E544" s="86" t="s">
        <v>9</v>
      </c>
    </row>
    <row r="545" spans="1:5" ht="51.75" x14ac:dyDescent="0.25">
      <c r="A545" s="86" t="s">
        <v>374</v>
      </c>
      <c r="B545" s="86" t="s">
        <v>298</v>
      </c>
      <c r="C545" s="86" t="s">
        <v>375</v>
      </c>
      <c r="D545" s="86" t="s">
        <v>414</v>
      </c>
      <c r="E545" s="86" t="s">
        <v>9</v>
      </c>
    </row>
    <row r="546" spans="1:5" ht="51.75" x14ac:dyDescent="0.25">
      <c r="A546" s="86" t="s">
        <v>374</v>
      </c>
      <c r="B546" s="86" t="s">
        <v>298</v>
      </c>
      <c r="C546" s="86" t="s">
        <v>375</v>
      </c>
      <c r="D546" s="86" t="s">
        <v>415</v>
      </c>
      <c r="E546" s="86" t="s">
        <v>9</v>
      </c>
    </row>
    <row r="547" spans="1:5" ht="39" x14ac:dyDescent="0.25">
      <c r="A547" s="86" t="s">
        <v>374</v>
      </c>
      <c r="B547" s="86" t="s">
        <v>298</v>
      </c>
      <c r="C547" s="86" t="s">
        <v>375</v>
      </c>
      <c r="D547" s="86" t="s">
        <v>417</v>
      </c>
      <c r="E547" s="86" t="s">
        <v>9</v>
      </c>
    </row>
    <row r="548" spans="1:5" ht="39" x14ac:dyDescent="0.25">
      <c r="A548" s="86" t="s">
        <v>374</v>
      </c>
      <c r="B548" s="86" t="s">
        <v>298</v>
      </c>
      <c r="C548" s="86" t="s">
        <v>375</v>
      </c>
      <c r="D548" s="86" t="s">
        <v>418</v>
      </c>
      <c r="E548" s="86" t="s">
        <v>9</v>
      </c>
    </row>
    <row r="549" spans="1:5" ht="51.75" x14ac:dyDescent="0.25">
      <c r="A549" s="86" t="s">
        <v>374</v>
      </c>
      <c r="B549" s="86" t="s">
        <v>298</v>
      </c>
      <c r="C549" s="86" t="s">
        <v>375</v>
      </c>
      <c r="D549" s="86" t="s">
        <v>420</v>
      </c>
      <c r="E549" s="86" t="s">
        <v>9</v>
      </c>
    </row>
    <row r="550" spans="1:5" ht="51.75" x14ac:dyDescent="0.25">
      <c r="A550" s="86" t="s">
        <v>374</v>
      </c>
      <c r="B550" s="86" t="s">
        <v>298</v>
      </c>
      <c r="C550" s="86" t="s">
        <v>375</v>
      </c>
      <c r="D550" s="86" t="s">
        <v>422</v>
      </c>
      <c r="E550" s="86" t="s">
        <v>9</v>
      </c>
    </row>
    <row r="551" spans="1:5" ht="51.75" x14ac:dyDescent="0.25">
      <c r="A551" s="86" t="s">
        <v>374</v>
      </c>
      <c r="B551" s="86" t="s">
        <v>298</v>
      </c>
      <c r="C551" s="86" t="s">
        <v>375</v>
      </c>
      <c r="D551" s="86" t="s">
        <v>423</v>
      </c>
      <c r="E551" s="86" t="s">
        <v>9</v>
      </c>
    </row>
    <row r="552" spans="1:5" ht="51.75" x14ac:dyDescent="0.25">
      <c r="A552" s="86" t="s">
        <v>374</v>
      </c>
      <c r="B552" s="86" t="s">
        <v>298</v>
      </c>
      <c r="C552" s="86" t="s">
        <v>375</v>
      </c>
      <c r="D552" s="86" t="s">
        <v>424</v>
      </c>
      <c r="E552" s="86" t="s">
        <v>9</v>
      </c>
    </row>
    <row r="553" spans="1:5" ht="26.25" x14ac:dyDescent="0.25">
      <c r="A553" s="86" t="s">
        <v>374</v>
      </c>
      <c r="B553" s="86" t="s">
        <v>298</v>
      </c>
      <c r="C553" s="86" t="s">
        <v>375</v>
      </c>
      <c r="D553" s="86" t="s">
        <v>426</v>
      </c>
      <c r="E553" s="86" t="s">
        <v>9</v>
      </c>
    </row>
    <row r="554" spans="1:5" ht="39" x14ac:dyDescent="0.25">
      <c r="A554" s="86" t="s">
        <v>374</v>
      </c>
      <c r="B554" s="86" t="s">
        <v>298</v>
      </c>
      <c r="C554" s="86" t="s">
        <v>375</v>
      </c>
      <c r="D554" s="86" t="s">
        <v>408</v>
      </c>
      <c r="E554" s="86" t="s">
        <v>9</v>
      </c>
    </row>
    <row r="555" spans="1:5" ht="39" x14ac:dyDescent="0.25">
      <c r="A555" s="86" t="s">
        <v>374</v>
      </c>
      <c r="B555" s="86" t="s">
        <v>298</v>
      </c>
      <c r="C555" s="86" t="s">
        <v>375</v>
      </c>
      <c r="D555" s="86" t="s">
        <v>427</v>
      </c>
      <c r="E555" s="86" t="s">
        <v>9</v>
      </c>
    </row>
    <row r="556" spans="1:5" ht="51.75" x14ac:dyDescent="0.25">
      <c r="A556" s="86" t="s">
        <v>374</v>
      </c>
      <c r="B556" s="86" t="s">
        <v>298</v>
      </c>
      <c r="C556" s="86" t="s">
        <v>375</v>
      </c>
      <c r="D556" s="86" t="s">
        <v>429</v>
      </c>
      <c r="E556" s="86" t="s">
        <v>9</v>
      </c>
    </row>
    <row r="557" spans="1:5" ht="39" x14ac:dyDescent="0.25">
      <c r="A557" s="86" t="s">
        <v>374</v>
      </c>
      <c r="B557" s="86" t="s">
        <v>298</v>
      </c>
      <c r="C557" s="86" t="s">
        <v>375</v>
      </c>
      <c r="D557" s="86" t="s">
        <v>430</v>
      </c>
      <c r="E557" s="86" t="s">
        <v>9</v>
      </c>
    </row>
    <row r="558" spans="1:5" ht="51.75" x14ac:dyDescent="0.25">
      <c r="A558" s="86" t="s">
        <v>374</v>
      </c>
      <c r="B558" s="86" t="s">
        <v>298</v>
      </c>
      <c r="C558" s="86" t="s">
        <v>375</v>
      </c>
      <c r="D558" s="86" t="s">
        <v>431</v>
      </c>
      <c r="E558" s="86" t="s">
        <v>9</v>
      </c>
    </row>
    <row r="559" spans="1:5" ht="39" x14ac:dyDescent="0.25">
      <c r="A559" s="86" t="s">
        <v>374</v>
      </c>
      <c r="B559" s="86" t="s">
        <v>298</v>
      </c>
      <c r="C559" s="86" t="s">
        <v>375</v>
      </c>
      <c r="D559" s="86" t="s">
        <v>434</v>
      </c>
      <c r="E559" s="86" t="s">
        <v>9</v>
      </c>
    </row>
    <row r="560" spans="1:5" ht="26.25" x14ac:dyDescent="0.25">
      <c r="A560" s="86" t="s">
        <v>374</v>
      </c>
      <c r="B560" s="86" t="s">
        <v>298</v>
      </c>
      <c r="C560" s="86" t="s">
        <v>375</v>
      </c>
      <c r="D560" s="86" t="s">
        <v>435</v>
      </c>
      <c r="E560" s="86" t="s">
        <v>9</v>
      </c>
    </row>
    <row r="561" spans="1:5" ht="39" x14ac:dyDescent="0.25">
      <c r="A561" s="86" t="s">
        <v>374</v>
      </c>
      <c r="B561" s="86" t="s">
        <v>298</v>
      </c>
      <c r="C561" s="86" t="s">
        <v>375</v>
      </c>
      <c r="D561" s="86" t="s">
        <v>436</v>
      </c>
      <c r="E561" s="86" t="s">
        <v>9</v>
      </c>
    </row>
    <row r="562" spans="1:5" ht="26.25" x14ac:dyDescent="0.25">
      <c r="A562" s="86" t="s">
        <v>374</v>
      </c>
      <c r="B562" s="86" t="s">
        <v>298</v>
      </c>
      <c r="C562" s="86" t="s">
        <v>375</v>
      </c>
      <c r="D562" s="86" t="s">
        <v>438</v>
      </c>
      <c r="E562" s="86" t="s">
        <v>9</v>
      </c>
    </row>
  </sheetData>
  <sortState ref="A2:E562">
    <sortCondition ref="A2:A562"/>
  </sortState>
  <mergeCells count="5">
    <mergeCell ref="G1:G2"/>
    <mergeCell ref="G4:G5"/>
    <mergeCell ref="G7:G8"/>
    <mergeCell ref="H8:I8"/>
    <mergeCell ref="K8:L8"/>
  </mergeCells>
  <conditionalFormatting sqref="H5:M5">
    <cfRule type="cellIs" dxfId="64" priority="1" operator="greaterThan">
      <formula>0.2</formula>
    </cfRule>
    <cfRule type="cellIs" dxfId="63" priority="2" operator="greaterThan">
      <formula>0.1</formula>
    </cfRule>
    <cfRule type="cellIs" dxfId="62" priority="3" operator="greater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317"/>
  <sheetViews>
    <sheetView topLeftCell="A214" zoomScale="55" zoomScaleNormal="55" workbookViewId="0">
      <selection activeCell="H30" sqref="H30"/>
    </sheetView>
  </sheetViews>
  <sheetFormatPr defaultRowHeight="15" x14ac:dyDescent="0.25"/>
  <cols>
    <col min="1" max="1" width="14.42578125" bestFit="1" customWidth="1"/>
    <col min="2" max="2" width="13.5703125" customWidth="1"/>
    <col min="3" max="3" width="58.28515625" bestFit="1" customWidth="1"/>
    <col min="4" max="4" width="31" bestFit="1" customWidth="1"/>
    <col min="5" max="5" width="31" style="15" bestFit="1" customWidth="1"/>
    <col min="6" max="6" width="31" style="15" customWidth="1"/>
    <col min="7" max="7" width="19.57031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s="15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5</v>
      </c>
      <c r="B2" t="s">
        <v>6</v>
      </c>
      <c r="C2" t="s">
        <v>7</v>
      </c>
      <c r="D2" s="16" t="s">
        <v>196</v>
      </c>
      <c r="E2" s="15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171</v>
      </c>
      <c r="B3" t="s">
        <v>170</v>
      </c>
      <c r="C3" t="s">
        <v>7</v>
      </c>
      <c r="D3" t="s">
        <v>611</v>
      </c>
      <c r="E3" s="15" t="s">
        <v>9</v>
      </c>
    </row>
    <row r="4" spans="1:16" x14ac:dyDescent="0.25">
      <c r="A4" t="s">
        <v>171</v>
      </c>
      <c r="B4" t="s">
        <v>170</v>
      </c>
      <c r="C4" t="s">
        <v>7</v>
      </c>
      <c r="D4" t="s">
        <v>623</v>
      </c>
      <c r="E4" s="15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customHeight="1" thickBot="1" x14ac:dyDescent="0.3">
      <c r="A5" t="s">
        <v>171</v>
      </c>
      <c r="B5" t="s">
        <v>170</v>
      </c>
      <c r="C5" t="s">
        <v>7</v>
      </c>
      <c r="D5" t="s">
        <v>634</v>
      </c>
      <c r="E5" s="15" t="s">
        <v>9</v>
      </c>
      <c r="G5" s="101"/>
      <c r="H5" s="7">
        <v>0.15249118095238101</v>
      </c>
      <c r="I5" s="7">
        <v>0.31020383333333301</v>
      </c>
      <c r="J5" s="7">
        <v>0.16800000000000001</v>
      </c>
      <c r="K5" s="7">
        <v>0</v>
      </c>
      <c r="L5" s="7">
        <v>7.7921296296296294E-2</v>
      </c>
      <c r="M5" s="8">
        <v>0</v>
      </c>
    </row>
    <row r="6" spans="1:16" ht="15.75" thickBot="1" x14ac:dyDescent="0.3">
      <c r="A6" t="s">
        <v>171</v>
      </c>
      <c r="B6" t="s">
        <v>170</v>
      </c>
      <c r="C6" t="s">
        <v>7</v>
      </c>
      <c r="D6" t="s">
        <v>637</v>
      </c>
      <c r="E6" s="15" t="s">
        <v>9</v>
      </c>
    </row>
    <row r="7" spans="1:16" ht="45" x14ac:dyDescent="0.25">
      <c r="A7" t="s">
        <v>168</v>
      </c>
      <c r="B7" t="s">
        <v>119</v>
      </c>
      <c r="C7" t="s">
        <v>7</v>
      </c>
      <c r="D7" s="15" t="s">
        <v>162</v>
      </c>
      <c r="E7" s="15" t="s">
        <v>212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15.75" thickBot="1" x14ac:dyDescent="0.3">
      <c r="A8" t="s">
        <v>166</v>
      </c>
      <c r="B8" t="s">
        <v>164</v>
      </c>
      <c r="C8" t="s">
        <v>7</v>
      </c>
      <c r="D8" t="s">
        <v>637</v>
      </c>
      <c r="E8" s="15" t="s">
        <v>9</v>
      </c>
      <c r="G8" s="101"/>
      <c r="H8" s="102">
        <f>AVERAGE(H5:M5)</f>
        <v>0.11810271843033505</v>
      </c>
      <c r="I8" s="102"/>
      <c r="J8" s="11"/>
      <c r="K8" s="102">
        <f>SUMPRODUCT(H2:M2,H5:M5)</f>
        <v>0.13979236627936503</v>
      </c>
      <c r="L8" s="102"/>
      <c r="M8" s="12"/>
    </row>
    <row r="9" spans="1:16" x14ac:dyDescent="0.25">
      <c r="A9" t="s">
        <v>166</v>
      </c>
      <c r="B9" t="s">
        <v>164</v>
      </c>
      <c r="C9" t="s">
        <v>7</v>
      </c>
      <c r="D9" t="s">
        <v>634</v>
      </c>
      <c r="E9" s="15" t="s">
        <v>9</v>
      </c>
      <c r="K9">
        <v>0.15249118095238101</v>
      </c>
      <c r="L9">
        <v>0.31020383333333301</v>
      </c>
      <c r="M9">
        <v>0.16800000000000001</v>
      </c>
      <c r="N9">
        <v>0</v>
      </c>
      <c r="O9">
        <v>7.7921296296296294E-2</v>
      </c>
      <c r="P9">
        <v>0</v>
      </c>
    </row>
    <row r="10" spans="1:16" x14ac:dyDescent="0.25">
      <c r="A10" t="s">
        <v>166</v>
      </c>
      <c r="B10" t="s">
        <v>164</v>
      </c>
      <c r="C10" t="s">
        <v>7</v>
      </c>
      <c r="D10" t="s">
        <v>611</v>
      </c>
      <c r="E10" s="15" t="s">
        <v>9</v>
      </c>
      <c r="J10">
        <v>0.15249118095238101</v>
      </c>
    </row>
    <row r="11" spans="1:16" x14ac:dyDescent="0.25">
      <c r="A11" t="s">
        <v>166</v>
      </c>
      <c r="B11" t="s">
        <v>164</v>
      </c>
      <c r="C11" t="s">
        <v>7</v>
      </c>
      <c r="D11" t="s">
        <v>623</v>
      </c>
      <c r="E11" s="15" t="s">
        <v>9</v>
      </c>
      <c r="J11">
        <v>0.31020383333333301</v>
      </c>
    </row>
    <row r="12" spans="1:16" x14ac:dyDescent="0.25">
      <c r="A12" t="s">
        <v>140</v>
      </c>
      <c r="B12" t="s">
        <v>511</v>
      </c>
      <c r="C12" t="s">
        <v>7</v>
      </c>
      <c r="D12" s="16" t="s">
        <v>196</v>
      </c>
      <c r="E12" s="15" t="s">
        <v>9</v>
      </c>
      <c r="J12">
        <v>0.16800000000000001</v>
      </c>
    </row>
    <row r="13" spans="1:16" x14ac:dyDescent="0.25">
      <c r="A13" t="s">
        <v>115</v>
      </c>
      <c r="B13" t="s">
        <v>116</v>
      </c>
      <c r="C13" t="s">
        <v>7</v>
      </c>
      <c r="D13" s="15" t="s">
        <v>196</v>
      </c>
      <c r="E13" s="15" t="s">
        <v>9</v>
      </c>
      <c r="J13">
        <v>0</v>
      </c>
    </row>
    <row r="14" spans="1:16" x14ac:dyDescent="0.25">
      <c r="A14" t="s">
        <v>115</v>
      </c>
      <c r="B14" t="s">
        <v>116</v>
      </c>
      <c r="C14" t="s">
        <v>7</v>
      </c>
      <c r="D14" t="s">
        <v>611</v>
      </c>
      <c r="E14" s="15" t="s">
        <v>9</v>
      </c>
      <c r="J14">
        <v>7.7921296296296294E-2</v>
      </c>
    </row>
    <row r="15" spans="1:16" x14ac:dyDescent="0.25">
      <c r="A15" t="s">
        <v>115</v>
      </c>
      <c r="B15" t="s">
        <v>116</v>
      </c>
      <c r="C15" t="s">
        <v>7</v>
      </c>
      <c r="D15" t="s">
        <v>623</v>
      </c>
      <c r="E15" s="15" t="s">
        <v>9</v>
      </c>
      <c r="J15">
        <v>0</v>
      </c>
    </row>
    <row r="16" spans="1:16" x14ac:dyDescent="0.25">
      <c r="A16" t="s">
        <v>115</v>
      </c>
      <c r="B16" t="s">
        <v>116</v>
      </c>
      <c r="C16" t="s">
        <v>7</v>
      </c>
      <c r="D16" t="s">
        <v>625</v>
      </c>
      <c r="E16" s="15" t="s">
        <v>9</v>
      </c>
    </row>
    <row r="17" spans="1:5" customFormat="1" x14ac:dyDescent="0.25">
      <c r="A17" t="s">
        <v>115</v>
      </c>
      <c r="B17" t="s">
        <v>116</v>
      </c>
      <c r="C17" t="s">
        <v>7</v>
      </c>
      <c r="D17" t="s">
        <v>626</v>
      </c>
      <c r="E17" s="15" t="s">
        <v>9</v>
      </c>
    </row>
    <row r="18" spans="1:5" customFormat="1" x14ac:dyDescent="0.25">
      <c r="A18" t="s">
        <v>115</v>
      </c>
      <c r="B18" t="s">
        <v>116</v>
      </c>
      <c r="C18" t="s">
        <v>7</v>
      </c>
      <c r="D18" t="s">
        <v>627</v>
      </c>
      <c r="E18" s="15" t="s">
        <v>9</v>
      </c>
    </row>
    <row r="19" spans="1:5" customFormat="1" x14ac:dyDescent="0.25">
      <c r="A19" t="s">
        <v>115</v>
      </c>
      <c r="B19" t="s">
        <v>116</v>
      </c>
      <c r="C19" t="s">
        <v>7</v>
      </c>
      <c r="D19" t="s">
        <v>630</v>
      </c>
      <c r="E19" s="15" t="s">
        <v>9</v>
      </c>
    </row>
    <row r="20" spans="1:5" customFormat="1" x14ac:dyDescent="0.25">
      <c r="A20" t="s">
        <v>115</v>
      </c>
      <c r="B20" t="s">
        <v>116</v>
      </c>
      <c r="C20" t="s">
        <v>7</v>
      </c>
      <c r="D20" t="s">
        <v>631</v>
      </c>
      <c r="E20" s="15" t="s">
        <v>9</v>
      </c>
    </row>
    <row r="21" spans="1:5" customFormat="1" x14ac:dyDescent="0.25">
      <c r="A21" t="s">
        <v>115</v>
      </c>
      <c r="B21" t="s">
        <v>116</v>
      </c>
      <c r="C21" t="s">
        <v>7</v>
      </c>
      <c r="D21" t="s">
        <v>633</v>
      </c>
      <c r="E21" s="15" t="s">
        <v>9</v>
      </c>
    </row>
    <row r="22" spans="1:5" customFormat="1" x14ac:dyDescent="0.25">
      <c r="A22" t="s">
        <v>115</v>
      </c>
      <c r="B22" t="s">
        <v>116</v>
      </c>
      <c r="C22" t="s">
        <v>7</v>
      </c>
      <c r="D22" t="s">
        <v>634</v>
      </c>
      <c r="E22" s="15" t="s">
        <v>9</v>
      </c>
    </row>
    <row r="23" spans="1:5" customFormat="1" x14ac:dyDescent="0.25">
      <c r="A23" t="s">
        <v>115</v>
      </c>
      <c r="B23" t="s">
        <v>116</v>
      </c>
      <c r="C23" t="s">
        <v>7</v>
      </c>
      <c r="D23" t="s">
        <v>635</v>
      </c>
      <c r="E23" s="15" t="s">
        <v>9</v>
      </c>
    </row>
    <row r="24" spans="1:5" customFormat="1" x14ac:dyDescent="0.25">
      <c r="A24" t="s">
        <v>115</v>
      </c>
      <c r="B24" t="s">
        <v>116</v>
      </c>
      <c r="C24" t="s">
        <v>7</v>
      </c>
      <c r="D24" t="s">
        <v>636</v>
      </c>
      <c r="E24" s="15" t="s">
        <v>9</v>
      </c>
    </row>
    <row r="25" spans="1:5" customFormat="1" x14ac:dyDescent="0.25">
      <c r="A25" t="s">
        <v>115</v>
      </c>
      <c r="B25" t="s">
        <v>116</v>
      </c>
      <c r="C25" t="s">
        <v>7</v>
      </c>
      <c r="D25" t="s">
        <v>637</v>
      </c>
      <c r="E25" s="15" t="s">
        <v>9</v>
      </c>
    </row>
    <row r="26" spans="1:5" customFormat="1" x14ac:dyDescent="0.25">
      <c r="A26" t="s">
        <v>115</v>
      </c>
      <c r="B26" t="s">
        <v>116</v>
      </c>
      <c r="C26" t="s">
        <v>7</v>
      </c>
      <c r="D26" t="s">
        <v>639</v>
      </c>
      <c r="E26" s="15" t="s">
        <v>9</v>
      </c>
    </row>
    <row r="27" spans="1:5" customFormat="1" x14ac:dyDescent="0.25">
      <c r="A27" t="s">
        <v>115</v>
      </c>
      <c r="B27" t="s">
        <v>116</v>
      </c>
      <c r="C27" t="s">
        <v>7</v>
      </c>
      <c r="D27" t="s">
        <v>644</v>
      </c>
      <c r="E27" s="15" t="s">
        <v>9</v>
      </c>
    </row>
    <row r="28" spans="1:5" customFormat="1" x14ac:dyDescent="0.25">
      <c r="A28" t="s">
        <v>115</v>
      </c>
      <c r="B28" t="s">
        <v>116</v>
      </c>
      <c r="C28" t="s">
        <v>7</v>
      </c>
      <c r="D28" t="s">
        <v>651</v>
      </c>
      <c r="E28" s="15" t="s">
        <v>9</v>
      </c>
    </row>
    <row r="29" spans="1:5" customFormat="1" x14ac:dyDescent="0.25">
      <c r="A29" t="s">
        <v>115</v>
      </c>
      <c r="B29" t="s">
        <v>116</v>
      </c>
      <c r="C29" t="s">
        <v>7</v>
      </c>
      <c r="D29" t="s">
        <v>653</v>
      </c>
      <c r="E29" s="15" t="s">
        <v>9</v>
      </c>
    </row>
    <row r="30" spans="1:5" customFormat="1" x14ac:dyDescent="0.25">
      <c r="A30" t="s">
        <v>115</v>
      </c>
      <c r="B30" t="s">
        <v>116</v>
      </c>
      <c r="C30" t="s">
        <v>7</v>
      </c>
      <c r="D30" t="s">
        <v>655</v>
      </c>
      <c r="E30" s="15" t="s">
        <v>9</v>
      </c>
    </row>
    <row r="31" spans="1:5" customFormat="1" x14ac:dyDescent="0.25">
      <c r="A31" t="s">
        <v>115</v>
      </c>
      <c r="B31" t="s">
        <v>116</v>
      </c>
      <c r="C31" t="s">
        <v>7</v>
      </c>
      <c r="D31" t="s">
        <v>656</v>
      </c>
      <c r="E31" s="15" t="s">
        <v>9</v>
      </c>
    </row>
    <row r="32" spans="1:5" customFormat="1" x14ac:dyDescent="0.25">
      <c r="A32" t="s">
        <v>115</v>
      </c>
      <c r="B32" t="s">
        <v>116</v>
      </c>
      <c r="C32" t="s">
        <v>7</v>
      </c>
      <c r="D32" t="s">
        <v>658</v>
      </c>
      <c r="E32" s="15" t="s">
        <v>9</v>
      </c>
    </row>
    <row r="33" spans="1:5" customFormat="1" ht="15" customHeight="1" x14ac:dyDescent="0.25">
      <c r="A33" t="s">
        <v>115</v>
      </c>
      <c r="B33" t="s">
        <v>116</v>
      </c>
      <c r="C33" t="s">
        <v>7</v>
      </c>
      <c r="D33" t="s">
        <v>660</v>
      </c>
      <c r="E33" s="15" t="s">
        <v>9</v>
      </c>
    </row>
    <row r="34" spans="1:5" customFormat="1" x14ac:dyDescent="0.25">
      <c r="A34" t="s">
        <v>115</v>
      </c>
      <c r="B34" t="s">
        <v>116</v>
      </c>
      <c r="C34" t="s">
        <v>7</v>
      </c>
      <c r="D34" t="s">
        <v>664</v>
      </c>
      <c r="E34" s="15" t="s">
        <v>9</v>
      </c>
    </row>
    <row r="35" spans="1:5" customFormat="1" x14ac:dyDescent="0.25">
      <c r="A35" t="s">
        <v>115</v>
      </c>
      <c r="B35" t="s">
        <v>116</v>
      </c>
      <c r="C35" t="s">
        <v>7</v>
      </c>
      <c r="D35" t="s">
        <v>666</v>
      </c>
      <c r="E35" s="15" t="s">
        <v>9</v>
      </c>
    </row>
    <row r="36" spans="1:5" customFormat="1" x14ac:dyDescent="0.25">
      <c r="A36" t="s">
        <v>115</v>
      </c>
      <c r="B36" t="s">
        <v>116</v>
      </c>
      <c r="C36" t="s">
        <v>7</v>
      </c>
      <c r="D36" t="s">
        <v>667</v>
      </c>
      <c r="E36" s="15" t="s">
        <v>9</v>
      </c>
    </row>
    <row r="37" spans="1:5" customFormat="1" x14ac:dyDescent="0.25">
      <c r="A37" t="s">
        <v>115</v>
      </c>
      <c r="B37" t="s">
        <v>116</v>
      </c>
      <c r="C37" t="s">
        <v>7</v>
      </c>
      <c r="D37" t="s">
        <v>669</v>
      </c>
      <c r="E37" s="15" t="s">
        <v>9</v>
      </c>
    </row>
    <row r="38" spans="1:5" customFormat="1" x14ac:dyDescent="0.25">
      <c r="A38" t="s">
        <v>115</v>
      </c>
      <c r="B38" t="s">
        <v>116</v>
      </c>
      <c r="C38" t="s">
        <v>7</v>
      </c>
      <c r="D38" t="s">
        <v>670</v>
      </c>
      <c r="E38" s="15" t="s">
        <v>9</v>
      </c>
    </row>
    <row r="39" spans="1:5" customFormat="1" x14ac:dyDescent="0.25">
      <c r="A39" t="s">
        <v>115</v>
      </c>
      <c r="B39" t="s">
        <v>116</v>
      </c>
      <c r="C39" t="s">
        <v>7</v>
      </c>
      <c r="D39" t="s">
        <v>671</v>
      </c>
      <c r="E39" s="15" t="s">
        <v>9</v>
      </c>
    </row>
    <row r="40" spans="1:5" customFormat="1" x14ac:dyDescent="0.25">
      <c r="A40" t="s">
        <v>115</v>
      </c>
      <c r="B40" t="s">
        <v>116</v>
      </c>
      <c r="C40" t="s">
        <v>7</v>
      </c>
      <c r="D40" t="s">
        <v>672</v>
      </c>
      <c r="E40" s="15" t="s">
        <v>9</v>
      </c>
    </row>
    <row r="41" spans="1:5" customFormat="1" x14ac:dyDescent="0.25">
      <c r="A41" t="s">
        <v>115</v>
      </c>
      <c r="B41" t="s">
        <v>116</v>
      </c>
      <c r="C41" t="s">
        <v>7</v>
      </c>
      <c r="D41" t="s">
        <v>673</v>
      </c>
      <c r="E41" s="15" t="s">
        <v>9</v>
      </c>
    </row>
    <row r="42" spans="1:5" customFormat="1" x14ac:dyDescent="0.25">
      <c r="A42" t="s">
        <v>115</v>
      </c>
      <c r="B42" t="s">
        <v>116</v>
      </c>
      <c r="C42" t="s">
        <v>7</v>
      </c>
      <c r="D42" t="s">
        <v>676</v>
      </c>
      <c r="E42" s="15" t="s">
        <v>9</v>
      </c>
    </row>
    <row r="43" spans="1:5" customFormat="1" x14ac:dyDescent="0.25">
      <c r="A43" t="s">
        <v>115</v>
      </c>
      <c r="B43" t="s">
        <v>116</v>
      </c>
      <c r="C43" t="s">
        <v>7</v>
      </c>
      <c r="D43" t="s">
        <v>683</v>
      </c>
      <c r="E43" s="15" t="s">
        <v>9</v>
      </c>
    </row>
    <row r="44" spans="1:5" customFormat="1" x14ac:dyDescent="0.25">
      <c r="A44" t="s">
        <v>115</v>
      </c>
      <c r="B44" t="s">
        <v>116</v>
      </c>
      <c r="C44" t="s">
        <v>7</v>
      </c>
      <c r="D44" t="s">
        <v>681</v>
      </c>
      <c r="E44" s="15" t="s">
        <v>9</v>
      </c>
    </row>
    <row r="45" spans="1:5" customFormat="1" x14ac:dyDescent="0.25">
      <c r="A45" t="s">
        <v>115</v>
      </c>
      <c r="B45" t="s">
        <v>116</v>
      </c>
      <c r="C45" t="s">
        <v>7</v>
      </c>
      <c r="D45" t="s">
        <v>682</v>
      </c>
      <c r="E45" s="15" t="s">
        <v>9</v>
      </c>
    </row>
    <row r="46" spans="1:5" customFormat="1" x14ac:dyDescent="0.25">
      <c r="A46" t="s">
        <v>115</v>
      </c>
      <c r="B46" t="s">
        <v>116</v>
      </c>
      <c r="C46" t="s">
        <v>7</v>
      </c>
      <c r="D46" t="s">
        <v>680</v>
      </c>
      <c r="E46" s="15" t="s">
        <v>9</v>
      </c>
    </row>
    <row r="47" spans="1:5" customFormat="1" x14ac:dyDescent="0.25">
      <c r="A47" t="s">
        <v>115</v>
      </c>
      <c r="B47" t="s">
        <v>116</v>
      </c>
      <c r="C47" t="s">
        <v>7</v>
      </c>
      <c r="D47" t="s">
        <v>678</v>
      </c>
      <c r="E47" s="15" t="s">
        <v>9</v>
      </c>
    </row>
    <row r="48" spans="1:5" customFormat="1" x14ac:dyDescent="0.25">
      <c r="A48" t="s">
        <v>115</v>
      </c>
      <c r="B48" t="s">
        <v>116</v>
      </c>
      <c r="C48" t="s">
        <v>7</v>
      </c>
      <c r="D48" t="s">
        <v>696</v>
      </c>
      <c r="E48" s="15" t="s">
        <v>9</v>
      </c>
    </row>
    <row r="49" spans="1:5" customFormat="1" x14ac:dyDescent="0.25">
      <c r="A49" t="s">
        <v>115</v>
      </c>
      <c r="B49" t="s">
        <v>116</v>
      </c>
      <c r="C49" t="s">
        <v>7</v>
      </c>
      <c r="D49" t="s">
        <v>679</v>
      </c>
      <c r="E49" s="15" t="s">
        <v>9</v>
      </c>
    </row>
    <row r="50" spans="1:5" customFormat="1" x14ac:dyDescent="0.25">
      <c r="A50" t="s">
        <v>192</v>
      </c>
      <c r="B50" t="s">
        <v>191</v>
      </c>
      <c r="C50" t="s">
        <v>7</v>
      </c>
      <c r="D50" s="16" t="s">
        <v>196</v>
      </c>
      <c r="E50" s="15" t="s">
        <v>9</v>
      </c>
    </row>
    <row r="51" spans="1:5" customFormat="1" ht="45" x14ac:dyDescent="0.25">
      <c r="A51" t="s">
        <v>192</v>
      </c>
      <c r="B51" t="s">
        <v>191</v>
      </c>
      <c r="C51" t="s">
        <v>7</v>
      </c>
      <c r="D51" s="15" t="s">
        <v>606</v>
      </c>
      <c r="E51" s="15" t="s">
        <v>9</v>
      </c>
    </row>
    <row r="52" spans="1:5" customFormat="1" ht="45" x14ac:dyDescent="0.25">
      <c r="A52" t="s">
        <v>192</v>
      </c>
      <c r="B52" t="s">
        <v>191</v>
      </c>
      <c r="C52" t="s">
        <v>7</v>
      </c>
      <c r="D52" s="15" t="s">
        <v>607</v>
      </c>
      <c r="E52" s="15" t="s">
        <v>9</v>
      </c>
    </row>
    <row r="53" spans="1:5" x14ac:dyDescent="0.25">
      <c r="A53" t="s">
        <v>192</v>
      </c>
      <c r="B53" t="s">
        <v>191</v>
      </c>
      <c r="C53" t="s">
        <v>7</v>
      </c>
      <c r="D53" t="s">
        <v>683</v>
      </c>
      <c r="E53" s="15" t="s">
        <v>9</v>
      </c>
    </row>
    <row r="54" spans="1:5" x14ac:dyDescent="0.25">
      <c r="A54" t="s">
        <v>192</v>
      </c>
      <c r="B54" t="s">
        <v>191</v>
      </c>
      <c r="C54" t="s">
        <v>7</v>
      </c>
      <c r="D54" t="s">
        <v>682</v>
      </c>
      <c r="E54" s="15" t="s">
        <v>9</v>
      </c>
    </row>
    <row r="55" spans="1:5" x14ac:dyDescent="0.25">
      <c r="A55" t="s">
        <v>192</v>
      </c>
      <c r="B55" t="s">
        <v>191</v>
      </c>
      <c r="C55" t="s">
        <v>7</v>
      </c>
      <c r="D55" t="s">
        <v>681</v>
      </c>
      <c r="E55" s="15" t="s">
        <v>9</v>
      </c>
    </row>
    <row r="56" spans="1:5" x14ac:dyDescent="0.25">
      <c r="A56" t="s">
        <v>192</v>
      </c>
      <c r="B56" t="s">
        <v>191</v>
      </c>
      <c r="C56" t="s">
        <v>7</v>
      </c>
      <c r="D56" t="s">
        <v>680</v>
      </c>
      <c r="E56" s="15" t="s">
        <v>9</v>
      </c>
    </row>
    <row r="57" spans="1:5" x14ac:dyDescent="0.25">
      <c r="A57" t="s">
        <v>192</v>
      </c>
      <c r="B57" t="s">
        <v>191</v>
      </c>
      <c r="C57" t="s">
        <v>7</v>
      </c>
      <c r="D57" t="s">
        <v>678</v>
      </c>
      <c r="E57" s="15" t="s">
        <v>9</v>
      </c>
    </row>
    <row r="58" spans="1:5" x14ac:dyDescent="0.25">
      <c r="A58" t="s">
        <v>192</v>
      </c>
      <c r="B58" t="s">
        <v>191</v>
      </c>
      <c r="C58" t="s">
        <v>7</v>
      </c>
      <c r="D58" t="s">
        <v>679</v>
      </c>
      <c r="E58" s="15" t="s">
        <v>9</v>
      </c>
    </row>
    <row r="59" spans="1:5" x14ac:dyDescent="0.25">
      <c r="A59" t="s">
        <v>186</v>
      </c>
      <c r="B59" t="s">
        <v>187</v>
      </c>
      <c r="C59" t="s">
        <v>7</v>
      </c>
      <c r="D59" s="15" t="s">
        <v>196</v>
      </c>
      <c r="E59" s="15" t="s">
        <v>9</v>
      </c>
    </row>
    <row r="60" spans="1:5" ht="45" x14ac:dyDescent="0.25">
      <c r="A60" t="s">
        <v>186</v>
      </c>
      <c r="B60" t="s">
        <v>187</v>
      </c>
      <c r="C60" t="s">
        <v>7</v>
      </c>
      <c r="D60" s="15" t="s">
        <v>606</v>
      </c>
      <c r="E60" s="15" t="s">
        <v>9</v>
      </c>
    </row>
    <row r="61" spans="1:5" ht="45" x14ac:dyDescent="0.25">
      <c r="A61" t="s">
        <v>186</v>
      </c>
      <c r="B61" t="s">
        <v>187</v>
      </c>
      <c r="C61" t="s">
        <v>7</v>
      </c>
      <c r="D61" s="15" t="s">
        <v>607</v>
      </c>
      <c r="E61" s="15" t="s">
        <v>9</v>
      </c>
    </row>
    <row r="62" spans="1:5" x14ac:dyDescent="0.25">
      <c r="A62" t="s">
        <v>186</v>
      </c>
      <c r="B62" t="s">
        <v>187</v>
      </c>
      <c r="C62" t="s">
        <v>7</v>
      </c>
      <c r="D62" t="s">
        <v>683</v>
      </c>
      <c r="E62" s="15" t="s">
        <v>9</v>
      </c>
    </row>
    <row r="63" spans="1:5" x14ac:dyDescent="0.25">
      <c r="A63" t="s">
        <v>186</v>
      </c>
      <c r="B63" t="s">
        <v>187</v>
      </c>
      <c r="C63" t="s">
        <v>7</v>
      </c>
      <c r="D63" t="s">
        <v>682</v>
      </c>
      <c r="E63" s="15" t="s">
        <v>9</v>
      </c>
    </row>
    <row r="64" spans="1:5" x14ac:dyDescent="0.25">
      <c r="A64" t="s">
        <v>186</v>
      </c>
      <c r="B64" t="s">
        <v>187</v>
      </c>
      <c r="C64" t="s">
        <v>7</v>
      </c>
      <c r="D64" t="s">
        <v>681</v>
      </c>
      <c r="E64" s="15" t="s">
        <v>9</v>
      </c>
    </row>
    <row r="65" spans="1:5" x14ac:dyDescent="0.25">
      <c r="A65" t="s">
        <v>186</v>
      </c>
      <c r="B65" t="s">
        <v>187</v>
      </c>
      <c r="C65" t="s">
        <v>7</v>
      </c>
      <c r="D65" t="s">
        <v>680</v>
      </c>
      <c r="E65" s="15" t="s">
        <v>9</v>
      </c>
    </row>
    <row r="66" spans="1:5" x14ac:dyDescent="0.25">
      <c r="A66" t="s">
        <v>186</v>
      </c>
      <c r="B66" t="s">
        <v>187</v>
      </c>
      <c r="C66" t="s">
        <v>7</v>
      </c>
      <c r="D66" t="s">
        <v>678</v>
      </c>
      <c r="E66" s="15" t="s">
        <v>9</v>
      </c>
    </row>
    <row r="67" spans="1:5" x14ac:dyDescent="0.25">
      <c r="A67" t="s">
        <v>186</v>
      </c>
      <c r="B67" t="s">
        <v>187</v>
      </c>
      <c r="C67" t="s">
        <v>7</v>
      </c>
      <c r="D67" t="s">
        <v>679</v>
      </c>
      <c r="E67" s="15" t="s">
        <v>9</v>
      </c>
    </row>
    <row r="68" spans="1:5" x14ac:dyDescent="0.25">
      <c r="A68" t="s">
        <v>201</v>
      </c>
      <c r="B68" t="s">
        <v>199</v>
      </c>
      <c r="C68" t="s">
        <v>7</v>
      </c>
      <c r="D68" s="15" t="s">
        <v>196</v>
      </c>
      <c r="E68" s="15" t="s">
        <v>9</v>
      </c>
    </row>
    <row r="69" spans="1:5" x14ac:dyDescent="0.25">
      <c r="A69" t="s">
        <v>194</v>
      </c>
      <c r="B69" t="s">
        <v>195</v>
      </c>
      <c r="C69" t="s">
        <v>7</v>
      </c>
      <c r="D69" s="16" t="s">
        <v>196</v>
      </c>
      <c r="E69" s="15" t="s">
        <v>9</v>
      </c>
    </row>
    <row r="70" spans="1:5" x14ac:dyDescent="0.25">
      <c r="A70" t="s">
        <v>194</v>
      </c>
      <c r="B70" t="s">
        <v>195</v>
      </c>
      <c r="C70" t="s">
        <v>7</v>
      </c>
      <c r="D70" t="s">
        <v>678</v>
      </c>
      <c r="E70" s="15" t="s">
        <v>9</v>
      </c>
    </row>
    <row r="71" spans="1:5" x14ac:dyDescent="0.25">
      <c r="A71" t="s">
        <v>194</v>
      </c>
      <c r="B71" t="s">
        <v>195</v>
      </c>
      <c r="C71" t="s">
        <v>7</v>
      </c>
      <c r="D71" t="s">
        <v>679</v>
      </c>
      <c r="E71" s="15" t="s">
        <v>9</v>
      </c>
    </row>
    <row r="72" spans="1:5" x14ac:dyDescent="0.25">
      <c r="A72" t="s">
        <v>194</v>
      </c>
      <c r="B72" t="s">
        <v>195</v>
      </c>
      <c r="C72" t="s">
        <v>7</v>
      </c>
      <c r="D72" t="s">
        <v>680</v>
      </c>
      <c r="E72" s="15" t="s">
        <v>9</v>
      </c>
    </row>
    <row r="73" spans="1:5" x14ac:dyDescent="0.25">
      <c r="A73" t="s">
        <v>194</v>
      </c>
      <c r="B73" t="s">
        <v>195</v>
      </c>
      <c r="C73" t="s">
        <v>7</v>
      </c>
      <c r="D73" t="s">
        <v>681</v>
      </c>
      <c r="E73" s="15" t="s">
        <v>9</v>
      </c>
    </row>
    <row r="74" spans="1:5" x14ac:dyDescent="0.25">
      <c r="A74" t="s">
        <v>194</v>
      </c>
      <c r="B74" t="s">
        <v>195</v>
      </c>
      <c r="C74" t="s">
        <v>7</v>
      </c>
      <c r="D74" t="s">
        <v>682</v>
      </c>
      <c r="E74" s="15" t="s">
        <v>9</v>
      </c>
    </row>
    <row r="75" spans="1:5" x14ac:dyDescent="0.25">
      <c r="A75" t="s">
        <v>194</v>
      </c>
      <c r="B75" t="s">
        <v>195</v>
      </c>
      <c r="C75" t="s">
        <v>7</v>
      </c>
      <c r="D75" t="s">
        <v>683</v>
      </c>
      <c r="E75" s="15" t="s">
        <v>9</v>
      </c>
    </row>
    <row r="76" spans="1:5" ht="30" x14ac:dyDescent="0.25">
      <c r="A76" t="s">
        <v>142</v>
      </c>
      <c r="B76" t="s">
        <v>143</v>
      </c>
      <c r="C76" t="s">
        <v>7</v>
      </c>
      <c r="D76" s="15" t="s">
        <v>609</v>
      </c>
      <c r="E76" s="15" t="s">
        <v>9</v>
      </c>
    </row>
    <row r="77" spans="1:5" ht="30" x14ac:dyDescent="0.25">
      <c r="A77" t="s">
        <v>142</v>
      </c>
      <c r="B77" t="s">
        <v>143</v>
      </c>
      <c r="C77" t="s">
        <v>7</v>
      </c>
      <c r="D77" s="15" t="s">
        <v>610</v>
      </c>
      <c r="E77" s="15" t="s">
        <v>9</v>
      </c>
    </row>
    <row r="78" spans="1:5" x14ac:dyDescent="0.25">
      <c r="A78" t="s">
        <v>142</v>
      </c>
      <c r="B78" t="s">
        <v>143</v>
      </c>
      <c r="C78" t="s">
        <v>7</v>
      </c>
      <c r="D78" t="s">
        <v>637</v>
      </c>
      <c r="E78" s="15" t="s">
        <v>9</v>
      </c>
    </row>
    <row r="79" spans="1:5" x14ac:dyDescent="0.25">
      <c r="A79" t="s">
        <v>142</v>
      </c>
      <c r="B79" t="s">
        <v>143</v>
      </c>
      <c r="C79" t="s">
        <v>7</v>
      </c>
      <c r="D79" t="s">
        <v>611</v>
      </c>
      <c r="E79" s="15" t="s">
        <v>9</v>
      </c>
    </row>
    <row r="80" spans="1:5" x14ac:dyDescent="0.25">
      <c r="A80" t="s">
        <v>172</v>
      </c>
      <c r="B80" t="s">
        <v>173</v>
      </c>
      <c r="C80" t="s">
        <v>7</v>
      </c>
      <c r="D80" t="s">
        <v>611</v>
      </c>
      <c r="E80" s="15" t="s">
        <v>9</v>
      </c>
    </row>
    <row r="81" spans="1:5" x14ac:dyDescent="0.25">
      <c r="A81" t="s">
        <v>172</v>
      </c>
      <c r="B81" t="s">
        <v>173</v>
      </c>
      <c r="C81" t="s">
        <v>7</v>
      </c>
      <c r="D81" t="s">
        <v>623</v>
      </c>
      <c r="E81" s="15" t="s">
        <v>9</v>
      </c>
    </row>
    <row r="82" spans="1:5" x14ac:dyDescent="0.25">
      <c r="A82" t="s">
        <v>172</v>
      </c>
      <c r="B82" t="s">
        <v>173</v>
      </c>
      <c r="C82" t="s">
        <v>7</v>
      </c>
      <c r="D82" t="s">
        <v>634</v>
      </c>
      <c r="E82" s="15" t="s">
        <v>9</v>
      </c>
    </row>
    <row r="83" spans="1:5" x14ac:dyDescent="0.25">
      <c r="A83" t="s">
        <v>172</v>
      </c>
      <c r="B83" t="s">
        <v>173</v>
      </c>
      <c r="C83" t="s">
        <v>7</v>
      </c>
      <c r="D83" t="s">
        <v>637</v>
      </c>
      <c r="E83" s="15" t="s">
        <v>9</v>
      </c>
    </row>
    <row r="84" spans="1:5" ht="75" x14ac:dyDescent="0.25">
      <c r="A84" t="s">
        <v>134</v>
      </c>
      <c r="B84" t="s">
        <v>114</v>
      </c>
      <c r="C84" t="s">
        <v>16</v>
      </c>
      <c r="D84" s="16" t="s">
        <v>162</v>
      </c>
      <c r="E84" s="15" t="s">
        <v>515</v>
      </c>
    </row>
    <row r="85" spans="1:5" ht="45" x14ac:dyDescent="0.25">
      <c r="A85" t="s">
        <v>182</v>
      </c>
      <c r="B85" t="s">
        <v>369</v>
      </c>
      <c r="C85" t="s">
        <v>16</v>
      </c>
      <c r="D85" s="16" t="s">
        <v>178</v>
      </c>
      <c r="E85" s="15" t="s">
        <v>213</v>
      </c>
    </row>
    <row r="86" spans="1:5" ht="45" x14ac:dyDescent="0.25">
      <c r="A86" t="s">
        <v>207</v>
      </c>
      <c r="B86" t="s">
        <v>372</v>
      </c>
      <c r="C86" t="s">
        <v>16</v>
      </c>
      <c r="D86" s="16" t="s">
        <v>178</v>
      </c>
      <c r="E86" s="15" t="s">
        <v>213</v>
      </c>
    </row>
    <row r="87" spans="1:5" ht="45" x14ac:dyDescent="0.25">
      <c r="A87" t="s">
        <v>176</v>
      </c>
      <c r="B87" t="s">
        <v>370</v>
      </c>
      <c r="C87" t="s">
        <v>16</v>
      </c>
      <c r="D87" s="16" t="s">
        <v>178</v>
      </c>
      <c r="E87" s="15" t="s">
        <v>214</v>
      </c>
    </row>
    <row r="88" spans="1:5" ht="90" x14ac:dyDescent="0.25">
      <c r="A88" t="s">
        <v>113</v>
      </c>
      <c r="B88" t="s">
        <v>114</v>
      </c>
      <c r="C88" t="s">
        <v>112</v>
      </c>
      <c r="D88" s="16" t="s">
        <v>162</v>
      </c>
      <c r="E88" s="15" t="s">
        <v>215</v>
      </c>
    </row>
    <row r="89" spans="1:5" x14ac:dyDescent="0.25">
      <c r="A89" t="s">
        <v>184</v>
      </c>
      <c r="B89" t="s">
        <v>369</v>
      </c>
      <c r="C89" t="s">
        <v>181</v>
      </c>
      <c r="D89" s="15" t="s">
        <v>178</v>
      </c>
      <c r="E89" s="15" t="s">
        <v>9</v>
      </c>
    </row>
    <row r="90" spans="1:5" x14ac:dyDescent="0.25">
      <c r="A90" t="s">
        <v>205</v>
      </c>
      <c r="B90" t="s">
        <v>372</v>
      </c>
      <c r="C90" t="s">
        <v>181</v>
      </c>
      <c r="D90" s="15" t="s">
        <v>178</v>
      </c>
      <c r="E90" s="15" t="s">
        <v>9</v>
      </c>
    </row>
    <row r="91" spans="1:5" x14ac:dyDescent="0.25">
      <c r="A91" t="s">
        <v>180</v>
      </c>
      <c r="B91" t="s">
        <v>370</v>
      </c>
      <c r="C91" t="s">
        <v>181</v>
      </c>
      <c r="D91" s="16" t="s">
        <v>178</v>
      </c>
      <c r="E91" s="15" t="s">
        <v>9</v>
      </c>
    </row>
    <row r="92" spans="1:5" ht="30" x14ac:dyDescent="0.25">
      <c r="A92" t="s">
        <v>604</v>
      </c>
      <c r="B92" t="s">
        <v>173</v>
      </c>
      <c r="C92" t="s">
        <v>19</v>
      </c>
      <c r="D92" s="15" t="s">
        <v>596</v>
      </c>
      <c r="E92" s="15" t="s">
        <v>600</v>
      </c>
    </row>
    <row r="93" spans="1:5" ht="30" x14ac:dyDescent="0.25">
      <c r="A93" t="s">
        <v>604</v>
      </c>
      <c r="B93" t="s">
        <v>173</v>
      </c>
      <c r="C93" t="s">
        <v>19</v>
      </c>
      <c r="D93" t="s">
        <v>623</v>
      </c>
      <c r="E93" s="15" t="s">
        <v>600</v>
      </c>
    </row>
    <row r="94" spans="1:5" ht="30" x14ac:dyDescent="0.25">
      <c r="A94" t="s">
        <v>604</v>
      </c>
      <c r="B94" t="s">
        <v>173</v>
      </c>
      <c r="C94" t="s">
        <v>19</v>
      </c>
      <c r="D94" t="s">
        <v>634</v>
      </c>
      <c r="E94" s="15" t="s">
        <v>600</v>
      </c>
    </row>
    <row r="95" spans="1:5" ht="30" x14ac:dyDescent="0.25">
      <c r="A95" t="s">
        <v>604</v>
      </c>
      <c r="B95" t="s">
        <v>173</v>
      </c>
      <c r="C95" t="s">
        <v>19</v>
      </c>
      <c r="D95" t="s">
        <v>637</v>
      </c>
      <c r="E95" s="15" t="s">
        <v>600</v>
      </c>
    </row>
    <row r="96" spans="1:5" ht="30" x14ac:dyDescent="0.25">
      <c r="A96" t="s">
        <v>604</v>
      </c>
      <c r="B96" t="s">
        <v>173</v>
      </c>
      <c r="C96" t="s">
        <v>19</v>
      </c>
      <c r="D96" t="s">
        <v>650</v>
      </c>
      <c r="E96" s="15" t="s">
        <v>600</v>
      </c>
    </row>
    <row r="97" spans="1:5" ht="30" x14ac:dyDescent="0.25">
      <c r="A97" t="s">
        <v>602</v>
      </c>
      <c r="B97" t="s">
        <v>170</v>
      </c>
      <c r="C97" t="s">
        <v>19</v>
      </c>
      <c r="D97" s="15" t="s">
        <v>596</v>
      </c>
      <c r="E97" s="15" t="s">
        <v>600</v>
      </c>
    </row>
    <row r="98" spans="1:5" ht="30" x14ac:dyDescent="0.25">
      <c r="A98" t="s">
        <v>602</v>
      </c>
      <c r="B98" t="s">
        <v>170</v>
      </c>
      <c r="C98" t="s">
        <v>19</v>
      </c>
      <c r="D98" t="s">
        <v>623</v>
      </c>
      <c r="E98" s="15" t="s">
        <v>600</v>
      </c>
    </row>
    <row r="99" spans="1:5" ht="30" x14ac:dyDescent="0.25">
      <c r="A99" t="s">
        <v>602</v>
      </c>
      <c r="B99" t="s">
        <v>170</v>
      </c>
      <c r="C99" t="s">
        <v>19</v>
      </c>
      <c r="D99" t="s">
        <v>634</v>
      </c>
      <c r="E99" s="15" t="s">
        <v>600</v>
      </c>
    </row>
    <row r="100" spans="1:5" ht="30" x14ac:dyDescent="0.25">
      <c r="A100" t="s">
        <v>602</v>
      </c>
      <c r="B100" t="s">
        <v>170</v>
      </c>
      <c r="C100" t="s">
        <v>19</v>
      </c>
      <c r="D100" t="s">
        <v>637</v>
      </c>
      <c r="E100" s="15" t="s">
        <v>600</v>
      </c>
    </row>
    <row r="101" spans="1:5" ht="30" x14ac:dyDescent="0.25">
      <c r="A101" t="s">
        <v>602</v>
      </c>
      <c r="B101" t="s">
        <v>170</v>
      </c>
      <c r="C101" t="s">
        <v>19</v>
      </c>
      <c r="D101" t="s">
        <v>650</v>
      </c>
      <c r="E101" s="15" t="s">
        <v>600</v>
      </c>
    </row>
    <row r="102" spans="1:5" ht="30" x14ac:dyDescent="0.25">
      <c r="A102" t="s">
        <v>454</v>
      </c>
      <c r="B102" t="s">
        <v>164</v>
      </c>
      <c r="C102" t="s">
        <v>19</v>
      </c>
      <c r="D102" s="15" t="s">
        <v>596</v>
      </c>
      <c r="E102" s="15" t="s">
        <v>600</v>
      </c>
    </row>
    <row r="103" spans="1:5" ht="30" x14ac:dyDescent="0.25">
      <c r="A103" t="s">
        <v>454</v>
      </c>
      <c r="B103" t="s">
        <v>164</v>
      </c>
      <c r="C103" t="s">
        <v>19</v>
      </c>
      <c r="D103" t="s">
        <v>637</v>
      </c>
      <c r="E103" s="15" t="s">
        <v>600</v>
      </c>
    </row>
    <row r="104" spans="1:5" ht="30" x14ac:dyDescent="0.25">
      <c r="A104" t="s">
        <v>454</v>
      </c>
      <c r="B104" t="s">
        <v>164</v>
      </c>
      <c r="C104" t="s">
        <v>19</v>
      </c>
      <c r="D104" t="s">
        <v>650</v>
      </c>
      <c r="E104" s="15" t="s">
        <v>600</v>
      </c>
    </row>
    <row r="105" spans="1:5" ht="30" x14ac:dyDescent="0.25">
      <c r="A105" t="s">
        <v>454</v>
      </c>
      <c r="B105" t="s">
        <v>164</v>
      </c>
      <c r="C105" t="s">
        <v>19</v>
      </c>
      <c r="D105" t="s">
        <v>634</v>
      </c>
      <c r="E105" s="15" t="s">
        <v>600</v>
      </c>
    </row>
    <row r="106" spans="1:5" ht="30" x14ac:dyDescent="0.25">
      <c r="A106" t="s">
        <v>454</v>
      </c>
      <c r="B106" t="s">
        <v>164</v>
      </c>
      <c r="C106" t="s">
        <v>19</v>
      </c>
      <c r="D106" t="s">
        <v>623</v>
      </c>
      <c r="E106" s="15" t="s">
        <v>600</v>
      </c>
    </row>
    <row r="107" spans="1:5" x14ac:dyDescent="0.25">
      <c r="A107" t="s">
        <v>20</v>
      </c>
      <c r="B107" t="s">
        <v>6</v>
      </c>
      <c r="C107" t="s">
        <v>19</v>
      </c>
      <c r="D107" s="15" t="s">
        <v>196</v>
      </c>
      <c r="E107" s="15" t="s">
        <v>9</v>
      </c>
    </row>
    <row r="108" spans="1:5" x14ac:dyDescent="0.25">
      <c r="A108" t="s">
        <v>20</v>
      </c>
      <c r="B108" t="s">
        <v>6</v>
      </c>
      <c r="C108" t="s">
        <v>19</v>
      </c>
      <c r="D108" s="15" t="s">
        <v>208</v>
      </c>
      <c r="E108" s="15" t="s">
        <v>9</v>
      </c>
    </row>
    <row r="109" spans="1:5" x14ac:dyDescent="0.25">
      <c r="A109" t="s">
        <v>193</v>
      </c>
      <c r="B109" t="s">
        <v>116</v>
      </c>
      <c r="C109" t="s">
        <v>19</v>
      </c>
      <c r="D109" s="15" t="s">
        <v>188</v>
      </c>
      <c r="E109" s="15" t="s">
        <v>9</v>
      </c>
    </row>
    <row r="110" spans="1:5" x14ac:dyDescent="0.25">
      <c r="A110" s="14" t="s">
        <v>193</v>
      </c>
      <c r="B110" t="s">
        <v>116</v>
      </c>
      <c r="C110" t="s">
        <v>19</v>
      </c>
      <c r="D110" s="15" t="s">
        <v>596</v>
      </c>
      <c r="E110" s="15" t="s">
        <v>9</v>
      </c>
    </row>
    <row r="111" spans="1:5" x14ac:dyDescent="0.25">
      <c r="A111" t="s">
        <v>193</v>
      </c>
      <c r="B111" t="s">
        <v>116</v>
      </c>
      <c r="C111" t="s">
        <v>19</v>
      </c>
      <c r="D111" s="16" t="s">
        <v>196</v>
      </c>
      <c r="E111" s="15" t="s">
        <v>9</v>
      </c>
    </row>
    <row r="112" spans="1:5" x14ac:dyDescent="0.25">
      <c r="A112" t="s">
        <v>193</v>
      </c>
      <c r="B112" t="s">
        <v>116</v>
      </c>
      <c r="C112" t="s">
        <v>19</v>
      </c>
      <c r="D112" s="15" t="s">
        <v>608</v>
      </c>
      <c r="E112" s="15" t="s">
        <v>9</v>
      </c>
    </row>
    <row r="113" spans="1:5" ht="30" x14ac:dyDescent="0.25">
      <c r="A113" t="s">
        <v>193</v>
      </c>
      <c r="B113" t="s">
        <v>116</v>
      </c>
      <c r="C113" t="s">
        <v>19</v>
      </c>
      <c r="D113" s="16" t="s">
        <v>611</v>
      </c>
      <c r="E113" s="15" t="s">
        <v>9</v>
      </c>
    </row>
    <row r="114" spans="1:5" x14ac:dyDescent="0.25">
      <c r="A114" t="s">
        <v>193</v>
      </c>
      <c r="B114" t="s">
        <v>116</v>
      </c>
      <c r="C114" t="s">
        <v>19</v>
      </c>
      <c r="D114" t="s">
        <v>612</v>
      </c>
      <c r="E114" s="15" t="s">
        <v>9</v>
      </c>
    </row>
    <row r="115" spans="1:5" x14ac:dyDescent="0.25">
      <c r="A115" t="s">
        <v>193</v>
      </c>
      <c r="B115" t="s">
        <v>116</v>
      </c>
      <c r="C115" t="s">
        <v>19</v>
      </c>
      <c r="D115" t="s">
        <v>613</v>
      </c>
      <c r="E115" s="15" t="s">
        <v>9</v>
      </c>
    </row>
    <row r="116" spans="1:5" x14ac:dyDescent="0.25">
      <c r="A116" t="s">
        <v>193</v>
      </c>
      <c r="B116" t="s">
        <v>116</v>
      </c>
      <c r="C116" t="s">
        <v>19</v>
      </c>
      <c r="D116" t="s">
        <v>614</v>
      </c>
      <c r="E116" s="15" t="s">
        <v>9</v>
      </c>
    </row>
    <row r="117" spans="1:5" x14ac:dyDescent="0.25">
      <c r="A117" t="s">
        <v>193</v>
      </c>
      <c r="B117" t="s">
        <v>116</v>
      </c>
      <c r="C117" t="s">
        <v>19</v>
      </c>
      <c r="D117" t="s">
        <v>615</v>
      </c>
      <c r="E117" s="15" t="s">
        <v>9</v>
      </c>
    </row>
    <row r="118" spans="1:5" x14ac:dyDescent="0.25">
      <c r="A118" t="s">
        <v>193</v>
      </c>
      <c r="B118" t="s">
        <v>116</v>
      </c>
      <c r="C118" t="s">
        <v>19</v>
      </c>
      <c r="D118" t="s">
        <v>616</v>
      </c>
      <c r="E118" s="15" t="s">
        <v>9</v>
      </c>
    </row>
    <row r="119" spans="1:5" x14ac:dyDescent="0.25">
      <c r="A119" t="s">
        <v>193</v>
      </c>
      <c r="B119" t="s">
        <v>116</v>
      </c>
      <c r="C119" t="s">
        <v>19</v>
      </c>
      <c r="D119" t="s">
        <v>617</v>
      </c>
      <c r="E119" s="15" t="s">
        <v>9</v>
      </c>
    </row>
    <row r="120" spans="1:5" x14ac:dyDescent="0.25">
      <c r="A120" t="s">
        <v>193</v>
      </c>
      <c r="B120" t="s">
        <v>116</v>
      </c>
      <c r="C120" t="s">
        <v>19</v>
      </c>
      <c r="D120" t="s">
        <v>618</v>
      </c>
      <c r="E120" s="15" t="s">
        <v>9</v>
      </c>
    </row>
    <row r="121" spans="1:5" x14ac:dyDescent="0.25">
      <c r="A121" t="s">
        <v>193</v>
      </c>
      <c r="B121" t="s">
        <v>116</v>
      </c>
      <c r="C121" t="s">
        <v>19</v>
      </c>
      <c r="D121" t="s">
        <v>619</v>
      </c>
      <c r="E121" s="15" t="s">
        <v>9</v>
      </c>
    </row>
    <row r="122" spans="1:5" x14ac:dyDescent="0.25">
      <c r="A122" t="s">
        <v>193</v>
      </c>
      <c r="B122" t="s">
        <v>116</v>
      </c>
      <c r="C122" t="s">
        <v>19</v>
      </c>
      <c r="D122" t="s">
        <v>620</v>
      </c>
      <c r="E122" s="15" t="s">
        <v>9</v>
      </c>
    </row>
    <row r="123" spans="1:5" x14ac:dyDescent="0.25">
      <c r="A123" t="s">
        <v>193</v>
      </c>
      <c r="B123" t="s">
        <v>116</v>
      </c>
      <c r="C123" t="s">
        <v>19</v>
      </c>
      <c r="D123" t="s">
        <v>621</v>
      </c>
      <c r="E123" s="15" t="s">
        <v>9</v>
      </c>
    </row>
    <row r="124" spans="1:5" x14ac:dyDescent="0.25">
      <c r="A124" t="s">
        <v>193</v>
      </c>
      <c r="B124" t="s">
        <v>116</v>
      </c>
      <c r="C124" t="s">
        <v>19</v>
      </c>
      <c r="D124" t="s">
        <v>622</v>
      </c>
      <c r="E124" s="15" t="s">
        <v>9</v>
      </c>
    </row>
    <row r="125" spans="1:5" x14ac:dyDescent="0.25">
      <c r="A125" t="s">
        <v>193</v>
      </c>
      <c r="B125" t="s">
        <v>116</v>
      </c>
      <c r="C125" t="s">
        <v>19</v>
      </c>
      <c r="D125" t="s">
        <v>623</v>
      </c>
      <c r="E125" s="15" t="s">
        <v>9</v>
      </c>
    </row>
    <row r="126" spans="1:5" x14ac:dyDescent="0.25">
      <c r="A126" t="s">
        <v>193</v>
      </c>
      <c r="B126" t="s">
        <v>116</v>
      </c>
      <c r="C126" t="s">
        <v>19</v>
      </c>
      <c r="D126" t="s">
        <v>624</v>
      </c>
      <c r="E126" s="15" t="s">
        <v>9</v>
      </c>
    </row>
    <row r="127" spans="1:5" x14ac:dyDescent="0.25">
      <c r="A127" t="s">
        <v>193</v>
      </c>
      <c r="B127" t="s">
        <v>116</v>
      </c>
      <c r="C127" t="s">
        <v>19</v>
      </c>
      <c r="D127" t="s">
        <v>625</v>
      </c>
      <c r="E127" s="15" t="s">
        <v>9</v>
      </c>
    </row>
    <row r="128" spans="1:5" x14ac:dyDescent="0.25">
      <c r="A128" t="s">
        <v>193</v>
      </c>
      <c r="B128" t="s">
        <v>116</v>
      </c>
      <c r="C128" t="s">
        <v>19</v>
      </c>
      <c r="D128" t="s">
        <v>626</v>
      </c>
      <c r="E128" s="15" t="s">
        <v>9</v>
      </c>
    </row>
    <row r="129" spans="1:5" x14ac:dyDescent="0.25">
      <c r="A129" t="s">
        <v>193</v>
      </c>
      <c r="B129" t="s">
        <v>116</v>
      </c>
      <c r="C129" t="s">
        <v>19</v>
      </c>
      <c r="D129" t="s">
        <v>627</v>
      </c>
      <c r="E129" s="15" t="s">
        <v>9</v>
      </c>
    </row>
    <row r="130" spans="1:5" x14ac:dyDescent="0.25">
      <c r="A130" t="s">
        <v>193</v>
      </c>
      <c r="B130" t="s">
        <v>116</v>
      </c>
      <c r="C130" t="s">
        <v>19</v>
      </c>
      <c r="D130" t="s">
        <v>628</v>
      </c>
      <c r="E130" s="15" t="s">
        <v>9</v>
      </c>
    </row>
    <row r="131" spans="1:5" x14ac:dyDescent="0.25">
      <c r="A131" t="s">
        <v>193</v>
      </c>
      <c r="B131" t="s">
        <v>116</v>
      </c>
      <c r="C131" t="s">
        <v>19</v>
      </c>
      <c r="D131" t="s">
        <v>629</v>
      </c>
      <c r="E131" s="15" t="s">
        <v>9</v>
      </c>
    </row>
    <row r="132" spans="1:5" x14ac:dyDescent="0.25">
      <c r="A132" t="s">
        <v>193</v>
      </c>
      <c r="B132" t="s">
        <v>116</v>
      </c>
      <c r="C132" t="s">
        <v>19</v>
      </c>
      <c r="D132" t="s">
        <v>630</v>
      </c>
      <c r="E132" s="15" t="s">
        <v>9</v>
      </c>
    </row>
    <row r="133" spans="1:5" x14ac:dyDescent="0.25">
      <c r="A133" t="s">
        <v>193</v>
      </c>
      <c r="B133" t="s">
        <v>116</v>
      </c>
      <c r="C133" t="s">
        <v>19</v>
      </c>
      <c r="D133" t="s">
        <v>631</v>
      </c>
      <c r="E133" s="15" t="s">
        <v>9</v>
      </c>
    </row>
    <row r="134" spans="1:5" x14ac:dyDescent="0.25">
      <c r="A134" t="s">
        <v>193</v>
      </c>
      <c r="B134" t="s">
        <v>116</v>
      </c>
      <c r="C134" t="s">
        <v>19</v>
      </c>
      <c r="D134" t="s">
        <v>632</v>
      </c>
      <c r="E134" s="15" t="s">
        <v>9</v>
      </c>
    </row>
    <row r="135" spans="1:5" x14ac:dyDescent="0.25">
      <c r="A135" t="s">
        <v>193</v>
      </c>
      <c r="B135" t="s">
        <v>116</v>
      </c>
      <c r="C135" t="s">
        <v>19</v>
      </c>
      <c r="D135" t="s">
        <v>633</v>
      </c>
      <c r="E135" s="15" t="s">
        <v>9</v>
      </c>
    </row>
    <row r="136" spans="1:5" x14ac:dyDescent="0.25">
      <c r="A136" t="s">
        <v>193</v>
      </c>
      <c r="B136" t="s">
        <v>116</v>
      </c>
      <c r="C136" t="s">
        <v>19</v>
      </c>
      <c r="D136" t="s">
        <v>634</v>
      </c>
      <c r="E136" s="15" t="s">
        <v>9</v>
      </c>
    </row>
    <row r="137" spans="1:5" x14ac:dyDescent="0.25">
      <c r="A137" t="s">
        <v>193</v>
      </c>
      <c r="B137" t="s">
        <v>116</v>
      </c>
      <c r="C137" t="s">
        <v>19</v>
      </c>
      <c r="D137" t="s">
        <v>635</v>
      </c>
      <c r="E137" s="15" t="s">
        <v>9</v>
      </c>
    </row>
    <row r="138" spans="1:5" x14ac:dyDescent="0.25">
      <c r="A138" t="s">
        <v>193</v>
      </c>
      <c r="B138" t="s">
        <v>116</v>
      </c>
      <c r="C138" t="s">
        <v>19</v>
      </c>
      <c r="D138" t="s">
        <v>636</v>
      </c>
      <c r="E138" s="15" t="s">
        <v>9</v>
      </c>
    </row>
    <row r="139" spans="1:5" x14ac:dyDescent="0.25">
      <c r="A139" t="s">
        <v>193</v>
      </c>
      <c r="B139" t="s">
        <v>116</v>
      </c>
      <c r="C139" t="s">
        <v>19</v>
      </c>
      <c r="D139" t="s">
        <v>637</v>
      </c>
      <c r="E139" s="15" t="s">
        <v>9</v>
      </c>
    </row>
    <row r="140" spans="1:5" x14ac:dyDescent="0.25">
      <c r="A140" t="s">
        <v>193</v>
      </c>
      <c r="B140" t="s">
        <v>116</v>
      </c>
      <c r="C140" t="s">
        <v>19</v>
      </c>
      <c r="D140" t="s">
        <v>638</v>
      </c>
      <c r="E140" s="15" t="s">
        <v>9</v>
      </c>
    </row>
    <row r="141" spans="1:5" x14ac:dyDescent="0.25">
      <c r="A141" t="s">
        <v>193</v>
      </c>
      <c r="B141" t="s">
        <v>116</v>
      </c>
      <c r="C141" t="s">
        <v>19</v>
      </c>
      <c r="D141" t="s">
        <v>639</v>
      </c>
      <c r="E141" s="15" t="s">
        <v>9</v>
      </c>
    </row>
    <row r="142" spans="1:5" x14ac:dyDescent="0.25">
      <c r="A142" t="s">
        <v>193</v>
      </c>
      <c r="B142" t="s">
        <v>116</v>
      </c>
      <c r="C142" t="s">
        <v>19</v>
      </c>
      <c r="D142" t="s">
        <v>640</v>
      </c>
      <c r="E142" s="15" t="s">
        <v>9</v>
      </c>
    </row>
    <row r="143" spans="1:5" x14ac:dyDescent="0.25">
      <c r="A143" t="s">
        <v>193</v>
      </c>
      <c r="B143" t="s">
        <v>116</v>
      </c>
      <c r="C143" t="s">
        <v>19</v>
      </c>
      <c r="D143" t="s">
        <v>641</v>
      </c>
      <c r="E143" s="15" t="s">
        <v>9</v>
      </c>
    </row>
    <row r="144" spans="1:5" x14ac:dyDescent="0.25">
      <c r="A144" t="s">
        <v>193</v>
      </c>
      <c r="B144" t="s">
        <v>116</v>
      </c>
      <c r="C144" t="s">
        <v>19</v>
      </c>
      <c r="D144" t="s">
        <v>642</v>
      </c>
      <c r="E144" s="15" t="s">
        <v>9</v>
      </c>
    </row>
    <row r="145" spans="1:5" x14ac:dyDescent="0.25">
      <c r="A145" t="s">
        <v>193</v>
      </c>
      <c r="B145" t="s">
        <v>116</v>
      </c>
      <c r="C145" t="s">
        <v>19</v>
      </c>
      <c r="D145" t="s">
        <v>643</v>
      </c>
      <c r="E145" s="15" t="s">
        <v>9</v>
      </c>
    </row>
    <row r="146" spans="1:5" x14ac:dyDescent="0.25">
      <c r="A146" t="s">
        <v>193</v>
      </c>
      <c r="B146" t="s">
        <v>116</v>
      </c>
      <c r="C146" t="s">
        <v>19</v>
      </c>
      <c r="D146" t="s">
        <v>644</v>
      </c>
      <c r="E146" s="15" t="s">
        <v>9</v>
      </c>
    </row>
    <row r="147" spans="1:5" x14ac:dyDescent="0.25">
      <c r="A147" t="s">
        <v>193</v>
      </c>
      <c r="B147" t="s">
        <v>116</v>
      </c>
      <c r="C147" t="s">
        <v>19</v>
      </c>
      <c r="D147" t="s">
        <v>645</v>
      </c>
      <c r="E147" s="15" t="s">
        <v>9</v>
      </c>
    </row>
    <row r="148" spans="1:5" x14ac:dyDescent="0.25">
      <c r="A148" t="s">
        <v>193</v>
      </c>
      <c r="B148" t="s">
        <v>116</v>
      </c>
      <c r="C148" t="s">
        <v>19</v>
      </c>
      <c r="D148" t="s">
        <v>646</v>
      </c>
      <c r="E148" s="15" t="s">
        <v>9</v>
      </c>
    </row>
    <row r="149" spans="1:5" x14ac:dyDescent="0.25">
      <c r="A149" t="s">
        <v>193</v>
      </c>
      <c r="B149" t="s">
        <v>116</v>
      </c>
      <c r="C149" t="s">
        <v>19</v>
      </c>
      <c r="D149" t="s">
        <v>647</v>
      </c>
      <c r="E149" s="15" t="s">
        <v>9</v>
      </c>
    </row>
    <row r="150" spans="1:5" x14ac:dyDescent="0.25">
      <c r="A150" t="s">
        <v>193</v>
      </c>
      <c r="B150" t="s">
        <v>116</v>
      </c>
      <c r="C150" t="s">
        <v>19</v>
      </c>
      <c r="D150" t="s">
        <v>648</v>
      </c>
      <c r="E150" s="15" t="s">
        <v>9</v>
      </c>
    </row>
    <row r="151" spans="1:5" x14ac:dyDescent="0.25">
      <c r="A151" t="s">
        <v>193</v>
      </c>
      <c r="B151" t="s">
        <v>116</v>
      </c>
      <c r="C151" t="s">
        <v>19</v>
      </c>
      <c r="D151" t="s">
        <v>649</v>
      </c>
      <c r="E151" s="15" t="s">
        <v>9</v>
      </c>
    </row>
    <row r="152" spans="1:5" x14ac:dyDescent="0.25">
      <c r="A152" t="s">
        <v>193</v>
      </c>
      <c r="B152" t="s">
        <v>116</v>
      </c>
      <c r="C152" t="s">
        <v>19</v>
      </c>
      <c r="D152" t="s">
        <v>650</v>
      </c>
      <c r="E152" s="15" t="s">
        <v>9</v>
      </c>
    </row>
    <row r="153" spans="1:5" x14ac:dyDescent="0.25">
      <c r="A153" t="s">
        <v>193</v>
      </c>
      <c r="B153" t="s">
        <v>116</v>
      </c>
      <c r="C153" t="s">
        <v>19</v>
      </c>
      <c r="D153" t="s">
        <v>651</v>
      </c>
      <c r="E153" s="15" t="s">
        <v>9</v>
      </c>
    </row>
    <row r="154" spans="1:5" x14ac:dyDescent="0.25">
      <c r="A154" t="s">
        <v>193</v>
      </c>
      <c r="B154" t="s">
        <v>116</v>
      </c>
      <c r="C154" t="s">
        <v>19</v>
      </c>
      <c r="D154" t="s">
        <v>652</v>
      </c>
      <c r="E154" s="15" t="s">
        <v>9</v>
      </c>
    </row>
    <row r="155" spans="1:5" x14ac:dyDescent="0.25">
      <c r="A155" t="s">
        <v>193</v>
      </c>
      <c r="B155" t="s">
        <v>116</v>
      </c>
      <c r="C155" t="s">
        <v>19</v>
      </c>
      <c r="D155" t="s">
        <v>653</v>
      </c>
      <c r="E155" s="15" t="s">
        <v>9</v>
      </c>
    </row>
    <row r="156" spans="1:5" x14ac:dyDescent="0.25">
      <c r="A156" t="s">
        <v>193</v>
      </c>
      <c r="B156" t="s">
        <v>116</v>
      </c>
      <c r="C156" t="s">
        <v>19</v>
      </c>
      <c r="D156" t="s">
        <v>654</v>
      </c>
      <c r="E156" s="15" t="s">
        <v>9</v>
      </c>
    </row>
    <row r="157" spans="1:5" x14ac:dyDescent="0.25">
      <c r="A157" t="s">
        <v>193</v>
      </c>
      <c r="B157" t="s">
        <v>116</v>
      </c>
      <c r="C157" t="s">
        <v>19</v>
      </c>
      <c r="D157" t="s">
        <v>655</v>
      </c>
      <c r="E157" s="15" t="s">
        <v>9</v>
      </c>
    </row>
    <row r="158" spans="1:5" x14ac:dyDescent="0.25">
      <c r="A158" t="s">
        <v>193</v>
      </c>
      <c r="B158" t="s">
        <v>116</v>
      </c>
      <c r="C158" t="s">
        <v>19</v>
      </c>
      <c r="D158" t="s">
        <v>656</v>
      </c>
      <c r="E158" s="15" t="s">
        <v>9</v>
      </c>
    </row>
    <row r="159" spans="1:5" x14ac:dyDescent="0.25">
      <c r="A159" t="s">
        <v>193</v>
      </c>
      <c r="B159" t="s">
        <v>116</v>
      </c>
      <c r="C159" t="s">
        <v>19</v>
      </c>
      <c r="D159" t="s">
        <v>657</v>
      </c>
      <c r="E159" s="15" t="s">
        <v>9</v>
      </c>
    </row>
    <row r="160" spans="1:5" x14ac:dyDescent="0.25">
      <c r="A160" t="s">
        <v>193</v>
      </c>
      <c r="B160" t="s">
        <v>116</v>
      </c>
      <c r="C160" t="s">
        <v>19</v>
      </c>
      <c r="D160" t="s">
        <v>658</v>
      </c>
      <c r="E160" s="15" t="s">
        <v>9</v>
      </c>
    </row>
    <row r="161" spans="1:5" x14ac:dyDescent="0.25">
      <c r="A161" t="s">
        <v>193</v>
      </c>
      <c r="B161" t="s">
        <v>116</v>
      </c>
      <c r="C161" t="s">
        <v>19</v>
      </c>
      <c r="D161" t="s">
        <v>659</v>
      </c>
      <c r="E161" s="15" t="s">
        <v>9</v>
      </c>
    </row>
    <row r="162" spans="1:5" x14ac:dyDescent="0.25">
      <c r="A162" t="s">
        <v>193</v>
      </c>
      <c r="B162" t="s">
        <v>116</v>
      </c>
      <c r="C162" t="s">
        <v>19</v>
      </c>
      <c r="D162" t="s">
        <v>660</v>
      </c>
      <c r="E162" s="15" t="s">
        <v>9</v>
      </c>
    </row>
    <row r="163" spans="1:5" x14ac:dyDescent="0.25">
      <c r="A163" t="s">
        <v>193</v>
      </c>
      <c r="B163" t="s">
        <v>116</v>
      </c>
      <c r="C163" t="s">
        <v>19</v>
      </c>
      <c r="D163" t="s">
        <v>661</v>
      </c>
      <c r="E163" s="15" t="s">
        <v>9</v>
      </c>
    </row>
    <row r="164" spans="1:5" x14ac:dyDescent="0.25">
      <c r="A164" t="s">
        <v>193</v>
      </c>
      <c r="B164" t="s">
        <v>116</v>
      </c>
      <c r="C164" t="s">
        <v>19</v>
      </c>
      <c r="D164" t="s">
        <v>664</v>
      </c>
      <c r="E164" s="15" t="s">
        <v>9</v>
      </c>
    </row>
    <row r="165" spans="1:5" x14ac:dyDescent="0.25">
      <c r="A165" t="s">
        <v>193</v>
      </c>
      <c r="B165" t="s">
        <v>116</v>
      </c>
      <c r="C165" t="s">
        <v>19</v>
      </c>
      <c r="D165" t="s">
        <v>665</v>
      </c>
      <c r="E165" s="15" t="s">
        <v>9</v>
      </c>
    </row>
    <row r="166" spans="1:5" x14ac:dyDescent="0.25">
      <c r="A166" t="s">
        <v>193</v>
      </c>
      <c r="B166" t="s">
        <v>116</v>
      </c>
      <c r="C166" t="s">
        <v>19</v>
      </c>
      <c r="D166" t="s">
        <v>666</v>
      </c>
      <c r="E166" s="15" t="s">
        <v>9</v>
      </c>
    </row>
    <row r="167" spans="1:5" x14ac:dyDescent="0.25">
      <c r="A167" t="s">
        <v>193</v>
      </c>
      <c r="B167" t="s">
        <v>116</v>
      </c>
      <c r="C167" t="s">
        <v>19</v>
      </c>
      <c r="D167" t="s">
        <v>667</v>
      </c>
      <c r="E167" s="15" t="s">
        <v>9</v>
      </c>
    </row>
    <row r="168" spans="1:5" x14ac:dyDescent="0.25">
      <c r="A168" t="s">
        <v>193</v>
      </c>
      <c r="B168" t="s">
        <v>116</v>
      </c>
      <c r="C168" t="s">
        <v>19</v>
      </c>
      <c r="D168" t="s">
        <v>668</v>
      </c>
      <c r="E168" s="15" t="s">
        <v>9</v>
      </c>
    </row>
    <row r="169" spans="1:5" x14ac:dyDescent="0.25">
      <c r="A169" t="s">
        <v>193</v>
      </c>
      <c r="B169" t="s">
        <v>116</v>
      </c>
      <c r="C169" t="s">
        <v>19</v>
      </c>
      <c r="D169" t="s">
        <v>669</v>
      </c>
      <c r="E169" s="15" t="s">
        <v>9</v>
      </c>
    </row>
    <row r="170" spans="1:5" x14ac:dyDescent="0.25">
      <c r="A170" t="s">
        <v>193</v>
      </c>
      <c r="B170" t="s">
        <v>116</v>
      </c>
      <c r="C170" t="s">
        <v>19</v>
      </c>
      <c r="D170" t="s">
        <v>670</v>
      </c>
      <c r="E170" s="15" t="s">
        <v>9</v>
      </c>
    </row>
    <row r="171" spans="1:5" x14ac:dyDescent="0.25">
      <c r="A171" t="s">
        <v>193</v>
      </c>
      <c r="B171" t="s">
        <v>116</v>
      </c>
      <c r="C171" t="s">
        <v>19</v>
      </c>
      <c r="D171" t="s">
        <v>671</v>
      </c>
      <c r="E171" s="15" t="s">
        <v>9</v>
      </c>
    </row>
    <row r="172" spans="1:5" x14ac:dyDescent="0.25">
      <c r="A172" t="s">
        <v>193</v>
      </c>
      <c r="B172" t="s">
        <v>116</v>
      </c>
      <c r="C172" t="s">
        <v>19</v>
      </c>
      <c r="D172" t="s">
        <v>672</v>
      </c>
      <c r="E172" s="15" t="s">
        <v>9</v>
      </c>
    </row>
    <row r="173" spans="1:5" x14ac:dyDescent="0.25">
      <c r="A173" t="s">
        <v>193</v>
      </c>
      <c r="B173" t="s">
        <v>116</v>
      </c>
      <c r="C173" t="s">
        <v>19</v>
      </c>
      <c r="D173" t="s">
        <v>673</v>
      </c>
      <c r="E173" s="15" t="s">
        <v>9</v>
      </c>
    </row>
    <row r="174" spans="1:5" x14ac:dyDescent="0.25">
      <c r="A174" t="s">
        <v>193</v>
      </c>
      <c r="B174" t="s">
        <v>116</v>
      </c>
      <c r="C174" t="s">
        <v>19</v>
      </c>
      <c r="D174" t="s">
        <v>674</v>
      </c>
      <c r="E174" s="15" t="s">
        <v>9</v>
      </c>
    </row>
    <row r="175" spans="1:5" x14ac:dyDescent="0.25">
      <c r="A175" t="s">
        <v>193</v>
      </c>
      <c r="B175" t="s">
        <v>116</v>
      </c>
      <c r="C175" t="s">
        <v>19</v>
      </c>
      <c r="D175" t="s">
        <v>675</v>
      </c>
      <c r="E175" s="15" t="s">
        <v>9</v>
      </c>
    </row>
    <row r="176" spans="1:5" x14ac:dyDescent="0.25">
      <c r="A176" t="s">
        <v>193</v>
      </c>
      <c r="B176" t="s">
        <v>116</v>
      </c>
      <c r="C176" t="s">
        <v>19</v>
      </c>
      <c r="D176" t="s">
        <v>676</v>
      </c>
      <c r="E176" s="15" t="s">
        <v>9</v>
      </c>
    </row>
    <row r="177" spans="1:5" x14ac:dyDescent="0.25">
      <c r="A177" t="s">
        <v>193</v>
      </c>
      <c r="B177" t="s">
        <v>116</v>
      </c>
      <c r="C177" t="s">
        <v>19</v>
      </c>
      <c r="D177" t="s">
        <v>677</v>
      </c>
      <c r="E177" s="15" t="s">
        <v>9</v>
      </c>
    </row>
    <row r="178" spans="1:5" x14ac:dyDescent="0.25">
      <c r="A178" t="s">
        <v>193</v>
      </c>
      <c r="B178" t="s">
        <v>116</v>
      </c>
      <c r="C178" t="s">
        <v>19</v>
      </c>
      <c r="D178" t="s">
        <v>683</v>
      </c>
      <c r="E178" s="15" t="s">
        <v>9</v>
      </c>
    </row>
    <row r="179" spans="1:5" x14ac:dyDescent="0.25">
      <c r="A179" t="s">
        <v>193</v>
      </c>
      <c r="B179" t="s">
        <v>116</v>
      </c>
      <c r="C179" t="s">
        <v>19</v>
      </c>
      <c r="D179" t="s">
        <v>684</v>
      </c>
      <c r="E179" s="15" t="s">
        <v>9</v>
      </c>
    </row>
    <row r="180" spans="1:5" x14ac:dyDescent="0.25">
      <c r="A180" t="s">
        <v>193</v>
      </c>
      <c r="B180" t="s">
        <v>116</v>
      </c>
      <c r="C180" t="s">
        <v>19</v>
      </c>
      <c r="D180" t="s">
        <v>681</v>
      </c>
      <c r="E180" s="15" t="s">
        <v>9</v>
      </c>
    </row>
    <row r="181" spans="1:5" x14ac:dyDescent="0.25">
      <c r="A181" t="s">
        <v>193</v>
      </c>
      <c r="B181" t="s">
        <v>116</v>
      </c>
      <c r="C181" t="s">
        <v>19</v>
      </c>
      <c r="D181" t="s">
        <v>685</v>
      </c>
      <c r="E181" s="15" t="s">
        <v>9</v>
      </c>
    </row>
    <row r="182" spans="1:5" x14ac:dyDescent="0.25">
      <c r="A182" t="s">
        <v>193</v>
      </c>
      <c r="B182" t="s">
        <v>116</v>
      </c>
      <c r="C182" t="s">
        <v>19</v>
      </c>
      <c r="D182" t="s">
        <v>686</v>
      </c>
      <c r="E182" s="15" t="s">
        <v>9</v>
      </c>
    </row>
    <row r="183" spans="1:5" x14ac:dyDescent="0.25">
      <c r="A183" t="s">
        <v>193</v>
      </c>
      <c r="B183" t="s">
        <v>116</v>
      </c>
      <c r="C183" t="s">
        <v>19</v>
      </c>
      <c r="D183" t="s">
        <v>687</v>
      </c>
      <c r="E183" s="15" t="s">
        <v>9</v>
      </c>
    </row>
    <row r="184" spans="1:5" x14ac:dyDescent="0.25">
      <c r="A184" t="s">
        <v>193</v>
      </c>
      <c r="B184" t="s">
        <v>116</v>
      </c>
      <c r="C184" t="s">
        <v>19</v>
      </c>
      <c r="D184" t="s">
        <v>688</v>
      </c>
      <c r="E184" s="15" t="s">
        <v>9</v>
      </c>
    </row>
    <row r="185" spans="1:5" x14ac:dyDescent="0.25">
      <c r="A185" t="s">
        <v>193</v>
      </c>
      <c r="B185" t="s">
        <v>116</v>
      </c>
      <c r="C185" t="s">
        <v>19</v>
      </c>
      <c r="D185" t="s">
        <v>689</v>
      </c>
      <c r="E185" s="15" t="s">
        <v>9</v>
      </c>
    </row>
    <row r="186" spans="1:5" x14ac:dyDescent="0.25">
      <c r="A186" t="s">
        <v>193</v>
      </c>
      <c r="B186" t="s">
        <v>116</v>
      </c>
      <c r="C186" t="s">
        <v>19</v>
      </c>
      <c r="D186" t="s">
        <v>690</v>
      </c>
      <c r="E186" s="15" t="s">
        <v>9</v>
      </c>
    </row>
    <row r="187" spans="1:5" x14ac:dyDescent="0.25">
      <c r="A187" t="s">
        <v>193</v>
      </c>
      <c r="B187" t="s">
        <v>116</v>
      </c>
      <c r="C187" t="s">
        <v>19</v>
      </c>
      <c r="D187" t="s">
        <v>691</v>
      </c>
      <c r="E187" s="15" t="s">
        <v>9</v>
      </c>
    </row>
    <row r="188" spans="1:5" x14ac:dyDescent="0.25">
      <c r="A188" t="s">
        <v>193</v>
      </c>
      <c r="B188" t="s">
        <v>116</v>
      </c>
      <c r="C188" t="s">
        <v>19</v>
      </c>
      <c r="D188" t="s">
        <v>682</v>
      </c>
      <c r="E188" s="15" t="s">
        <v>9</v>
      </c>
    </row>
    <row r="189" spans="1:5" x14ac:dyDescent="0.25">
      <c r="A189" t="s">
        <v>193</v>
      </c>
      <c r="B189" t="s">
        <v>116</v>
      </c>
      <c r="C189" t="s">
        <v>19</v>
      </c>
      <c r="D189" t="s">
        <v>680</v>
      </c>
      <c r="E189" s="15" t="s">
        <v>9</v>
      </c>
    </row>
    <row r="190" spans="1:5" x14ac:dyDescent="0.25">
      <c r="A190" t="s">
        <v>193</v>
      </c>
      <c r="B190" t="s">
        <v>116</v>
      </c>
      <c r="C190" t="s">
        <v>19</v>
      </c>
      <c r="D190" t="s">
        <v>692</v>
      </c>
      <c r="E190" s="15" t="s">
        <v>9</v>
      </c>
    </row>
    <row r="191" spans="1:5" x14ac:dyDescent="0.25">
      <c r="A191" t="s">
        <v>193</v>
      </c>
      <c r="B191" t="s">
        <v>116</v>
      </c>
      <c r="C191" t="s">
        <v>19</v>
      </c>
      <c r="D191" t="s">
        <v>678</v>
      </c>
      <c r="E191" s="15" t="s">
        <v>9</v>
      </c>
    </row>
    <row r="192" spans="1:5" x14ac:dyDescent="0.25">
      <c r="A192" t="s">
        <v>193</v>
      </c>
      <c r="B192" t="s">
        <v>116</v>
      </c>
      <c r="C192" t="s">
        <v>19</v>
      </c>
      <c r="D192" t="s">
        <v>693</v>
      </c>
      <c r="E192" s="15" t="s">
        <v>9</v>
      </c>
    </row>
    <row r="193" spans="1:5" x14ac:dyDescent="0.25">
      <c r="A193" t="s">
        <v>193</v>
      </c>
      <c r="B193" t="s">
        <v>116</v>
      </c>
      <c r="C193" t="s">
        <v>19</v>
      </c>
      <c r="D193" t="s">
        <v>694</v>
      </c>
      <c r="E193" s="15" t="s">
        <v>9</v>
      </c>
    </row>
    <row r="194" spans="1:5" x14ac:dyDescent="0.25">
      <c r="A194" t="s">
        <v>193</v>
      </c>
      <c r="B194" t="s">
        <v>116</v>
      </c>
      <c r="C194" t="s">
        <v>19</v>
      </c>
      <c r="D194" t="s">
        <v>695</v>
      </c>
      <c r="E194" s="15" t="s">
        <v>9</v>
      </c>
    </row>
    <row r="195" spans="1:5" x14ac:dyDescent="0.25">
      <c r="A195" t="s">
        <v>193</v>
      </c>
      <c r="B195" t="s">
        <v>116</v>
      </c>
      <c r="C195" t="s">
        <v>19</v>
      </c>
      <c r="D195" t="s">
        <v>696</v>
      </c>
      <c r="E195" s="15" t="s">
        <v>9</v>
      </c>
    </row>
    <row r="196" spans="1:5" x14ac:dyDescent="0.25">
      <c r="A196" t="s">
        <v>193</v>
      </c>
      <c r="B196" t="s">
        <v>116</v>
      </c>
      <c r="C196" t="s">
        <v>19</v>
      </c>
      <c r="D196" t="s">
        <v>606</v>
      </c>
      <c r="E196" s="15" t="s">
        <v>9</v>
      </c>
    </row>
    <row r="197" spans="1:5" x14ac:dyDescent="0.25">
      <c r="A197" t="s">
        <v>193</v>
      </c>
      <c r="B197" t="s">
        <v>116</v>
      </c>
      <c r="C197" t="s">
        <v>19</v>
      </c>
      <c r="D197" t="s">
        <v>679</v>
      </c>
      <c r="E197" s="15" t="s">
        <v>9</v>
      </c>
    </row>
    <row r="198" spans="1:5" ht="75" x14ac:dyDescent="0.25">
      <c r="A198" t="s">
        <v>198</v>
      </c>
      <c r="B198" t="s">
        <v>199</v>
      </c>
      <c r="C198" t="s">
        <v>23</v>
      </c>
      <c r="D198" s="15" t="s">
        <v>196</v>
      </c>
      <c r="E198" s="15" t="s">
        <v>216</v>
      </c>
    </row>
    <row r="199" spans="1:5" ht="30" x14ac:dyDescent="0.25">
      <c r="A199" t="s">
        <v>663</v>
      </c>
      <c r="B199" t="s">
        <v>173</v>
      </c>
      <c r="C199" t="s">
        <v>288</v>
      </c>
      <c r="D199" t="s">
        <v>623</v>
      </c>
      <c r="E199" s="15" t="s">
        <v>600</v>
      </c>
    </row>
    <row r="200" spans="1:5" ht="30" x14ac:dyDescent="0.25">
      <c r="A200" t="s">
        <v>663</v>
      </c>
      <c r="B200" t="s">
        <v>173</v>
      </c>
      <c r="C200" t="s">
        <v>288</v>
      </c>
      <c r="D200" t="s">
        <v>634</v>
      </c>
      <c r="E200" s="15" t="s">
        <v>600</v>
      </c>
    </row>
    <row r="201" spans="1:5" ht="30" x14ac:dyDescent="0.25">
      <c r="A201" t="s">
        <v>663</v>
      </c>
      <c r="B201" t="s">
        <v>173</v>
      </c>
      <c r="C201" t="s">
        <v>288</v>
      </c>
      <c r="D201" t="s">
        <v>637</v>
      </c>
      <c r="E201" s="15" t="s">
        <v>600</v>
      </c>
    </row>
    <row r="202" spans="1:5" ht="30" x14ac:dyDescent="0.25">
      <c r="A202" t="s">
        <v>662</v>
      </c>
      <c r="B202" t="s">
        <v>173</v>
      </c>
      <c r="C202" t="s">
        <v>288</v>
      </c>
      <c r="D202" t="s">
        <v>623</v>
      </c>
      <c r="E202" s="15" t="s">
        <v>600</v>
      </c>
    </row>
    <row r="203" spans="1:5" ht="30" x14ac:dyDescent="0.25">
      <c r="A203" t="s">
        <v>662</v>
      </c>
      <c r="B203" t="s">
        <v>173</v>
      </c>
      <c r="C203" t="s">
        <v>288</v>
      </c>
      <c r="D203" t="s">
        <v>634</v>
      </c>
      <c r="E203" s="15" t="s">
        <v>600</v>
      </c>
    </row>
    <row r="204" spans="1:5" ht="30" x14ac:dyDescent="0.25">
      <c r="A204" t="s">
        <v>662</v>
      </c>
      <c r="B204" t="s">
        <v>173</v>
      </c>
      <c r="C204" t="s">
        <v>288</v>
      </c>
      <c r="D204" t="s">
        <v>637</v>
      </c>
      <c r="E204" s="15" t="s">
        <v>600</v>
      </c>
    </row>
    <row r="205" spans="1:5" ht="30" x14ac:dyDescent="0.25">
      <c r="A205" t="s">
        <v>287</v>
      </c>
      <c r="B205" t="s">
        <v>164</v>
      </c>
      <c r="C205" t="s">
        <v>288</v>
      </c>
      <c r="D205" t="s">
        <v>637</v>
      </c>
      <c r="E205" s="15" t="s">
        <v>600</v>
      </c>
    </row>
    <row r="206" spans="1:5" ht="30" x14ac:dyDescent="0.25">
      <c r="A206" t="s">
        <v>287</v>
      </c>
      <c r="B206" t="s">
        <v>164</v>
      </c>
      <c r="C206" t="s">
        <v>288</v>
      </c>
      <c r="D206" t="s">
        <v>634</v>
      </c>
      <c r="E206" s="15" t="s">
        <v>600</v>
      </c>
    </row>
    <row r="207" spans="1:5" ht="30" x14ac:dyDescent="0.25">
      <c r="A207" t="s">
        <v>287</v>
      </c>
      <c r="B207" t="s">
        <v>164</v>
      </c>
      <c r="C207" t="s">
        <v>288</v>
      </c>
      <c r="D207" t="s">
        <v>623</v>
      </c>
      <c r="E207" s="15" t="s">
        <v>600</v>
      </c>
    </row>
    <row r="208" spans="1:5" ht="30" x14ac:dyDescent="0.25">
      <c r="A208" t="s">
        <v>297</v>
      </c>
      <c r="B208" t="s">
        <v>298</v>
      </c>
      <c r="C208" t="s">
        <v>288</v>
      </c>
      <c r="D208" t="s">
        <v>623</v>
      </c>
      <c r="E208" s="15" t="s">
        <v>600</v>
      </c>
    </row>
    <row r="209" spans="1:5" ht="30" x14ac:dyDescent="0.25">
      <c r="A209" t="s">
        <v>297</v>
      </c>
      <c r="B209" t="s">
        <v>298</v>
      </c>
      <c r="C209" t="s">
        <v>288</v>
      </c>
      <c r="D209" t="s">
        <v>634</v>
      </c>
      <c r="E209" s="15" t="s">
        <v>600</v>
      </c>
    </row>
    <row r="210" spans="1:5" ht="30" x14ac:dyDescent="0.25">
      <c r="A210" t="s">
        <v>297</v>
      </c>
      <c r="B210" t="s">
        <v>298</v>
      </c>
      <c r="C210" t="s">
        <v>288</v>
      </c>
      <c r="D210" t="s">
        <v>637</v>
      </c>
      <c r="E210" s="15" t="s">
        <v>600</v>
      </c>
    </row>
    <row r="211" spans="1:5" ht="30" x14ac:dyDescent="0.25">
      <c r="A211" t="s">
        <v>488</v>
      </c>
      <c r="B211" t="s">
        <v>164</v>
      </c>
      <c r="C211" t="s">
        <v>288</v>
      </c>
      <c r="D211" t="s">
        <v>637</v>
      </c>
      <c r="E211" s="15" t="s">
        <v>600</v>
      </c>
    </row>
    <row r="212" spans="1:5" ht="30" x14ac:dyDescent="0.25">
      <c r="A212" t="s">
        <v>488</v>
      </c>
      <c r="B212" t="s">
        <v>164</v>
      </c>
      <c r="C212" t="s">
        <v>288</v>
      </c>
      <c r="D212" t="s">
        <v>634</v>
      </c>
      <c r="E212" s="15" t="s">
        <v>600</v>
      </c>
    </row>
    <row r="213" spans="1:5" ht="30" x14ac:dyDescent="0.25">
      <c r="A213" t="s">
        <v>488</v>
      </c>
      <c r="B213" t="s">
        <v>164</v>
      </c>
      <c r="C213" t="s">
        <v>288</v>
      </c>
      <c r="D213" t="s">
        <v>623</v>
      </c>
      <c r="E213" s="15" t="s">
        <v>600</v>
      </c>
    </row>
    <row r="214" spans="1:5" ht="30" x14ac:dyDescent="0.25">
      <c r="A214" t="s">
        <v>482</v>
      </c>
      <c r="B214" t="s">
        <v>298</v>
      </c>
      <c r="C214" t="s">
        <v>288</v>
      </c>
      <c r="D214" t="s">
        <v>623</v>
      </c>
      <c r="E214" s="15" t="s">
        <v>600</v>
      </c>
    </row>
    <row r="215" spans="1:5" ht="30" x14ac:dyDescent="0.25">
      <c r="A215" t="s">
        <v>482</v>
      </c>
      <c r="B215" t="s">
        <v>298</v>
      </c>
      <c r="C215" t="s">
        <v>288</v>
      </c>
      <c r="D215" t="s">
        <v>634</v>
      </c>
      <c r="E215" s="15" t="s">
        <v>600</v>
      </c>
    </row>
    <row r="216" spans="1:5" ht="30" x14ac:dyDescent="0.25">
      <c r="A216" t="s">
        <v>482</v>
      </c>
      <c r="B216" t="s">
        <v>298</v>
      </c>
      <c r="C216" t="s">
        <v>288</v>
      </c>
      <c r="D216" t="s">
        <v>637</v>
      </c>
      <c r="E216" s="15" t="s">
        <v>600</v>
      </c>
    </row>
    <row r="217" spans="1:5" ht="75" x14ac:dyDescent="0.25">
      <c r="A217" t="s">
        <v>200</v>
      </c>
      <c r="B217" t="s">
        <v>199</v>
      </c>
      <c r="C217" t="s">
        <v>31</v>
      </c>
      <c r="D217" s="16" t="s">
        <v>196</v>
      </c>
      <c r="E217" s="15" t="s">
        <v>605</v>
      </c>
    </row>
    <row r="218" spans="1:5" ht="30" x14ac:dyDescent="0.25">
      <c r="A218" t="s">
        <v>603</v>
      </c>
      <c r="B218" t="s">
        <v>173</v>
      </c>
      <c r="C218" t="s">
        <v>598</v>
      </c>
      <c r="D218" s="15" t="s">
        <v>596</v>
      </c>
      <c r="E218" s="15" t="s">
        <v>599</v>
      </c>
    </row>
    <row r="219" spans="1:5" ht="30" x14ac:dyDescent="0.25">
      <c r="A219" t="s">
        <v>603</v>
      </c>
      <c r="B219" t="s">
        <v>173</v>
      </c>
      <c r="C219" t="s">
        <v>598</v>
      </c>
      <c r="D219" t="s">
        <v>623</v>
      </c>
      <c r="E219" s="15" t="s">
        <v>599</v>
      </c>
    </row>
    <row r="220" spans="1:5" ht="30" x14ac:dyDescent="0.25">
      <c r="A220" t="s">
        <v>603</v>
      </c>
      <c r="B220" t="s">
        <v>173</v>
      </c>
      <c r="C220" t="s">
        <v>598</v>
      </c>
      <c r="D220" t="s">
        <v>634</v>
      </c>
      <c r="E220" s="15" t="s">
        <v>599</v>
      </c>
    </row>
    <row r="221" spans="1:5" ht="30" x14ac:dyDescent="0.25">
      <c r="A221" t="s">
        <v>603</v>
      </c>
      <c r="B221" t="s">
        <v>173</v>
      </c>
      <c r="C221" t="s">
        <v>598</v>
      </c>
      <c r="D221" t="s">
        <v>637</v>
      </c>
      <c r="E221" s="15" t="s">
        <v>599</v>
      </c>
    </row>
    <row r="222" spans="1:5" ht="30" x14ac:dyDescent="0.25">
      <c r="A222" t="s">
        <v>603</v>
      </c>
      <c r="B222" t="s">
        <v>173</v>
      </c>
      <c r="C222" t="s">
        <v>598</v>
      </c>
      <c r="D222" t="s">
        <v>650</v>
      </c>
      <c r="E222" s="15" t="s">
        <v>599</v>
      </c>
    </row>
    <row r="223" spans="1:5" ht="30" x14ac:dyDescent="0.25">
      <c r="A223" t="s">
        <v>601</v>
      </c>
      <c r="B223" t="s">
        <v>170</v>
      </c>
      <c r="C223" t="s">
        <v>598</v>
      </c>
      <c r="D223" s="15" t="s">
        <v>596</v>
      </c>
      <c r="E223" s="15" t="s">
        <v>599</v>
      </c>
    </row>
    <row r="224" spans="1:5" ht="30" x14ac:dyDescent="0.25">
      <c r="A224" t="s">
        <v>601</v>
      </c>
      <c r="B224" t="s">
        <v>170</v>
      </c>
      <c r="C224" t="s">
        <v>598</v>
      </c>
      <c r="D224" t="s">
        <v>623</v>
      </c>
      <c r="E224" s="15" t="s">
        <v>599</v>
      </c>
    </row>
    <row r="225" spans="1:5" ht="30" x14ac:dyDescent="0.25">
      <c r="A225" t="s">
        <v>601</v>
      </c>
      <c r="B225" t="s">
        <v>170</v>
      </c>
      <c r="C225" t="s">
        <v>598</v>
      </c>
      <c r="D225" t="s">
        <v>634</v>
      </c>
      <c r="E225" s="15" t="s">
        <v>599</v>
      </c>
    </row>
    <row r="226" spans="1:5" ht="30" x14ac:dyDescent="0.25">
      <c r="A226" t="s">
        <v>601</v>
      </c>
      <c r="B226" t="s">
        <v>170</v>
      </c>
      <c r="C226" t="s">
        <v>598</v>
      </c>
      <c r="D226" t="s">
        <v>637</v>
      </c>
      <c r="E226" s="15" t="s">
        <v>599</v>
      </c>
    </row>
    <row r="227" spans="1:5" ht="30" x14ac:dyDescent="0.25">
      <c r="A227" t="s">
        <v>601</v>
      </c>
      <c r="B227" t="s">
        <v>170</v>
      </c>
      <c r="C227" t="s">
        <v>598</v>
      </c>
      <c r="D227" t="s">
        <v>650</v>
      </c>
      <c r="E227" s="15" t="s">
        <v>599</v>
      </c>
    </row>
    <row r="228" spans="1:5" ht="30" x14ac:dyDescent="0.25">
      <c r="A228" t="s">
        <v>597</v>
      </c>
      <c r="B228" t="s">
        <v>164</v>
      </c>
      <c r="C228" t="s">
        <v>598</v>
      </c>
      <c r="D228" s="15" t="s">
        <v>596</v>
      </c>
      <c r="E228" s="15" t="s">
        <v>599</v>
      </c>
    </row>
    <row r="229" spans="1:5" ht="30" x14ac:dyDescent="0.25">
      <c r="A229" t="s">
        <v>597</v>
      </c>
      <c r="B229" t="s">
        <v>164</v>
      </c>
      <c r="C229" t="s">
        <v>598</v>
      </c>
      <c r="D229" t="s">
        <v>637</v>
      </c>
      <c r="E229" s="15" t="s">
        <v>599</v>
      </c>
    </row>
    <row r="230" spans="1:5" ht="30" x14ac:dyDescent="0.25">
      <c r="A230" t="s">
        <v>597</v>
      </c>
      <c r="B230" t="s">
        <v>164</v>
      </c>
      <c r="C230" t="s">
        <v>598</v>
      </c>
      <c r="D230" t="s">
        <v>650</v>
      </c>
      <c r="E230" s="15" t="s">
        <v>599</v>
      </c>
    </row>
    <row r="231" spans="1:5" ht="30" x14ac:dyDescent="0.25">
      <c r="A231" t="s">
        <v>597</v>
      </c>
      <c r="B231" t="s">
        <v>164</v>
      </c>
      <c r="C231" t="s">
        <v>598</v>
      </c>
      <c r="D231" t="s">
        <v>634</v>
      </c>
      <c r="E231" s="15" t="s">
        <v>599</v>
      </c>
    </row>
    <row r="232" spans="1:5" ht="30" x14ac:dyDescent="0.25">
      <c r="A232" t="s">
        <v>597</v>
      </c>
      <c r="B232" t="s">
        <v>164</v>
      </c>
      <c r="C232" t="s">
        <v>598</v>
      </c>
      <c r="D232" t="s">
        <v>623</v>
      </c>
      <c r="E232" s="15" t="s">
        <v>599</v>
      </c>
    </row>
    <row r="233" spans="1:5" ht="30" x14ac:dyDescent="0.25">
      <c r="A233" t="s">
        <v>483</v>
      </c>
      <c r="B233" t="s">
        <v>298</v>
      </c>
      <c r="C233" t="s">
        <v>471</v>
      </c>
      <c r="D233" t="s">
        <v>623</v>
      </c>
      <c r="E233" s="15" t="s">
        <v>599</v>
      </c>
    </row>
    <row r="234" spans="1:5" ht="30" x14ac:dyDescent="0.25">
      <c r="A234" t="s">
        <v>483</v>
      </c>
      <c r="B234" t="s">
        <v>298</v>
      </c>
      <c r="C234" t="s">
        <v>471</v>
      </c>
      <c r="D234" t="s">
        <v>634</v>
      </c>
      <c r="E234" s="15" t="s">
        <v>599</v>
      </c>
    </row>
    <row r="235" spans="1:5" ht="30" x14ac:dyDescent="0.25">
      <c r="A235" t="s">
        <v>483</v>
      </c>
      <c r="B235" t="s">
        <v>298</v>
      </c>
      <c r="C235" t="s">
        <v>471</v>
      </c>
      <c r="D235" t="s">
        <v>637</v>
      </c>
      <c r="E235" s="15" t="s">
        <v>599</v>
      </c>
    </row>
    <row r="236" spans="1:5" x14ac:dyDescent="0.25">
      <c r="A236" t="s">
        <v>45</v>
      </c>
      <c r="B236" t="s">
        <v>6</v>
      </c>
      <c r="C236" t="s">
        <v>46</v>
      </c>
      <c r="D236" s="15" t="s">
        <v>196</v>
      </c>
      <c r="E236" s="15" t="s">
        <v>9</v>
      </c>
    </row>
    <row r="237" spans="1:5" x14ac:dyDescent="0.25">
      <c r="A237" t="s">
        <v>169</v>
      </c>
      <c r="B237" t="s">
        <v>170</v>
      </c>
      <c r="C237" t="s">
        <v>46</v>
      </c>
      <c r="D237" t="s">
        <v>611</v>
      </c>
      <c r="E237" s="15" t="s">
        <v>9</v>
      </c>
    </row>
    <row r="238" spans="1:5" x14ac:dyDescent="0.25">
      <c r="A238" t="s">
        <v>169</v>
      </c>
      <c r="B238" t="s">
        <v>170</v>
      </c>
      <c r="C238" t="s">
        <v>46</v>
      </c>
      <c r="D238" t="s">
        <v>623</v>
      </c>
      <c r="E238" s="15" t="s">
        <v>9</v>
      </c>
    </row>
    <row r="239" spans="1:5" x14ac:dyDescent="0.25">
      <c r="A239" t="s">
        <v>169</v>
      </c>
      <c r="B239" t="s">
        <v>170</v>
      </c>
      <c r="C239" t="s">
        <v>46</v>
      </c>
      <c r="D239" t="s">
        <v>634</v>
      </c>
      <c r="E239" s="15" t="s">
        <v>9</v>
      </c>
    </row>
    <row r="240" spans="1:5" x14ac:dyDescent="0.25">
      <c r="A240" t="s">
        <v>169</v>
      </c>
      <c r="B240" t="s">
        <v>170</v>
      </c>
      <c r="C240" t="s">
        <v>46</v>
      </c>
      <c r="D240" t="s">
        <v>637</v>
      </c>
      <c r="E240" s="15" t="s">
        <v>9</v>
      </c>
    </row>
    <row r="241" spans="1:5" ht="30" x14ac:dyDescent="0.25">
      <c r="A241" t="s">
        <v>167</v>
      </c>
      <c r="B241" t="s">
        <v>119</v>
      </c>
      <c r="C241" t="s">
        <v>46</v>
      </c>
      <c r="D241" s="16" t="s">
        <v>162</v>
      </c>
      <c r="E241" s="15" t="s">
        <v>165</v>
      </c>
    </row>
    <row r="242" spans="1:5" x14ac:dyDescent="0.25">
      <c r="A242" t="s">
        <v>163</v>
      </c>
      <c r="B242" t="s">
        <v>164</v>
      </c>
      <c r="C242" t="s">
        <v>46</v>
      </c>
      <c r="D242" t="s">
        <v>637</v>
      </c>
      <c r="E242" s="15" t="s">
        <v>9</v>
      </c>
    </row>
    <row r="243" spans="1:5" x14ac:dyDescent="0.25">
      <c r="A243" t="s">
        <v>163</v>
      </c>
      <c r="B243" t="s">
        <v>164</v>
      </c>
      <c r="C243" t="s">
        <v>46</v>
      </c>
      <c r="D243" t="s">
        <v>634</v>
      </c>
      <c r="E243" s="15" t="s">
        <v>9</v>
      </c>
    </row>
    <row r="244" spans="1:5" x14ac:dyDescent="0.25">
      <c r="A244" t="s">
        <v>163</v>
      </c>
      <c r="B244" t="s">
        <v>164</v>
      </c>
      <c r="C244" t="s">
        <v>46</v>
      </c>
      <c r="D244" t="s">
        <v>611</v>
      </c>
      <c r="E244" s="15" t="s">
        <v>9</v>
      </c>
    </row>
    <row r="245" spans="1:5" x14ac:dyDescent="0.25">
      <c r="A245" t="s">
        <v>163</v>
      </c>
      <c r="B245" t="s">
        <v>164</v>
      </c>
      <c r="C245" t="s">
        <v>46</v>
      </c>
      <c r="D245" t="s">
        <v>623</v>
      </c>
      <c r="E245" s="15" t="s">
        <v>9</v>
      </c>
    </row>
    <row r="246" spans="1:5" x14ac:dyDescent="0.25">
      <c r="A246" t="s">
        <v>204</v>
      </c>
      <c r="B246" t="s">
        <v>511</v>
      </c>
      <c r="C246" t="s">
        <v>46</v>
      </c>
      <c r="D246" s="16" t="s">
        <v>196</v>
      </c>
      <c r="E246" s="15" t="s">
        <v>9</v>
      </c>
    </row>
    <row r="247" spans="1:5" x14ac:dyDescent="0.25">
      <c r="A247" t="s">
        <v>203</v>
      </c>
      <c r="B247" t="s">
        <v>116</v>
      </c>
      <c r="C247" t="s">
        <v>46</v>
      </c>
      <c r="D247" s="15" t="s">
        <v>196</v>
      </c>
      <c r="E247" s="15" t="s">
        <v>9</v>
      </c>
    </row>
    <row r="248" spans="1:5" x14ac:dyDescent="0.25">
      <c r="A248" t="s">
        <v>203</v>
      </c>
      <c r="B248" t="s">
        <v>116</v>
      </c>
      <c r="C248" t="s">
        <v>46</v>
      </c>
      <c r="D248" t="s">
        <v>611</v>
      </c>
      <c r="E248" s="15" t="s">
        <v>9</v>
      </c>
    </row>
    <row r="249" spans="1:5" x14ac:dyDescent="0.25">
      <c r="A249" t="s">
        <v>203</v>
      </c>
      <c r="B249" t="s">
        <v>116</v>
      </c>
      <c r="C249" t="s">
        <v>46</v>
      </c>
      <c r="D249" t="s">
        <v>623</v>
      </c>
      <c r="E249" s="15" t="s">
        <v>9</v>
      </c>
    </row>
    <row r="250" spans="1:5" x14ac:dyDescent="0.25">
      <c r="A250" t="s">
        <v>203</v>
      </c>
      <c r="B250" t="s">
        <v>116</v>
      </c>
      <c r="C250" t="s">
        <v>46</v>
      </c>
      <c r="D250" t="s">
        <v>625</v>
      </c>
      <c r="E250" s="15" t="s">
        <v>9</v>
      </c>
    </row>
    <row r="251" spans="1:5" x14ac:dyDescent="0.25">
      <c r="A251" t="s">
        <v>203</v>
      </c>
      <c r="B251" t="s">
        <v>116</v>
      </c>
      <c r="C251" t="s">
        <v>46</v>
      </c>
      <c r="D251" t="s">
        <v>626</v>
      </c>
      <c r="E251" s="15" t="s">
        <v>9</v>
      </c>
    </row>
    <row r="252" spans="1:5" x14ac:dyDescent="0.25">
      <c r="A252" t="s">
        <v>203</v>
      </c>
      <c r="B252" t="s">
        <v>116</v>
      </c>
      <c r="C252" t="s">
        <v>46</v>
      </c>
      <c r="D252" t="s">
        <v>627</v>
      </c>
      <c r="E252" s="15" t="s">
        <v>9</v>
      </c>
    </row>
    <row r="253" spans="1:5" x14ac:dyDescent="0.25">
      <c r="A253" t="s">
        <v>203</v>
      </c>
      <c r="B253" t="s">
        <v>116</v>
      </c>
      <c r="C253" t="s">
        <v>46</v>
      </c>
      <c r="D253" t="s">
        <v>630</v>
      </c>
      <c r="E253" s="15" t="s">
        <v>9</v>
      </c>
    </row>
    <row r="254" spans="1:5" x14ac:dyDescent="0.25">
      <c r="A254" t="s">
        <v>203</v>
      </c>
      <c r="B254" t="s">
        <v>116</v>
      </c>
      <c r="C254" t="s">
        <v>46</v>
      </c>
      <c r="D254" t="s">
        <v>631</v>
      </c>
      <c r="E254" s="15" t="s">
        <v>9</v>
      </c>
    </row>
    <row r="255" spans="1:5" x14ac:dyDescent="0.25">
      <c r="A255" t="s">
        <v>203</v>
      </c>
      <c r="B255" t="s">
        <v>116</v>
      </c>
      <c r="C255" t="s">
        <v>46</v>
      </c>
      <c r="D255" t="s">
        <v>633</v>
      </c>
      <c r="E255" s="15" t="s">
        <v>9</v>
      </c>
    </row>
    <row r="256" spans="1:5" x14ac:dyDescent="0.25">
      <c r="A256" t="s">
        <v>203</v>
      </c>
      <c r="B256" t="s">
        <v>116</v>
      </c>
      <c r="C256" t="s">
        <v>46</v>
      </c>
      <c r="D256" t="s">
        <v>634</v>
      </c>
      <c r="E256" s="15" t="s">
        <v>9</v>
      </c>
    </row>
    <row r="257" spans="1:5" x14ac:dyDescent="0.25">
      <c r="A257" t="s">
        <v>203</v>
      </c>
      <c r="B257" t="s">
        <v>116</v>
      </c>
      <c r="C257" t="s">
        <v>46</v>
      </c>
      <c r="D257" t="s">
        <v>635</v>
      </c>
      <c r="E257" s="15" t="s">
        <v>9</v>
      </c>
    </row>
    <row r="258" spans="1:5" x14ac:dyDescent="0.25">
      <c r="A258" t="s">
        <v>203</v>
      </c>
      <c r="B258" t="s">
        <v>116</v>
      </c>
      <c r="C258" t="s">
        <v>46</v>
      </c>
      <c r="D258" t="s">
        <v>636</v>
      </c>
      <c r="E258" s="15" t="s">
        <v>9</v>
      </c>
    </row>
    <row r="259" spans="1:5" x14ac:dyDescent="0.25">
      <c r="A259" t="s">
        <v>203</v>
      </c>
      <c r="B259" t="s">
        <v>116</v>
      </c>
      <c r="C259" t="s">
        <v>46</v>
      </c>
      <c r="D259" t="s">
        <v>637</v>
      </c>
      <c r="E259" s="15" t="s">
        <v>9</v>
      </c>
    </row>
    <row r="260" spans="1:5" x14ac:dyDescent="0.25">
      <c r="A260" t="s">
        <v>203</v>
      </c>
      <c r="B260" t="s">
        <v>116</v>
      </c>
      <c r="C260" t="s">
        <v>46</v>
      </c>
      <c r="D260" t="s">
        <v>639</v>
      </c>
      <c r="E260" s="15" t="s">
        <v>9</v>
      </c>
    </row>
    <row r="261" spans="1:5" x14ac:dyDescent="0.25">
      <c r="A261" t="s">
        <v>203</v>
      </c>
      <c r="B261" t="s">
        <v>116</v>
      </c>
      <c r="C261" t="s">
        <v>46</v>
      </c>
      <c r="D261" t="s">
        <v>644</v>
      </c>
      <c r="E261" s="15" t="s">
        <v>9</v>
      </c>
    </row>
    <row r="262" spans="1:5" x14ac:dyDescent="0.25">
      <c r="A262" t="s">
        <v>203</v>
      </c>
      <c r="B262" t="s">
        <v>116</v>
      </c>
      <c r="C262" t="s">
        <v>46</v>
      </c>
      <c r="D262" t="s">
        <v>651</v>
      </c>
      <c r="E262" s="15" t="s">
        <v>9</v>
      </c>
    </row>
    <row r="263" spans="1:5" x14ac:dyDescent="0.25">
      <c r="A263" t="s">
        <v>203</v>
      </c>
      <c r="B263" t="s">
        <v>116</v>
      </c>
      <c r="C263" t="s">
        <v>46</v>
      </c>
      <c r="D263" t="s">
        <v>653</v>
      </c>
      <c r="E263" s="15" t="s">
        <v>9</v>
      </c>
    </row>
    <row r="264" spans="1:5" x14ac:dyDescent="0.25">
      <c r="A264" t="s">
        <v>203</v>
      </c>
      <c r="B264" t="s">
        <v>116</v>
      </c>
      <c r="C264" t="s">
        <v>46</v>
      </c>
      <c r="D264" t="s">
        <v>655</v>
      </c>
      <c r="E264" s="15" t="s">
        <v>9</v>
      </c>
    </row>
    <row r="265" spans="1:5" x14ac:dyDescent="0.25">
      <c r="A265" t="s">
        <v>203</v>
      </c>
      <c r="B265" t="s">
        <v>116</v>
      </c>
      <c r="C265" t="s">
        <v>46</v>
      </c>
      <c r="D265" t="s">
        <v>656</v>
      </c>
      <c r="E265" s="15" t="s">
        <v>9</v>
      </c>
    </row>
    <row r="266" spans="1:5" x14ac:dyDescent="0.25">
      <c r="A266" t="s">
        <v>203</v>
      </c>
      <c r="B266" t="s">
        <v>116</v>
      </c>
      <c r="C266" t="s">
        <v>46</v>
      </c>
      <c r="D266" t="s">
        <v>658</v>
      </c>
      <c r="E266" s="15" t="s">
        <v>9</v>
      </c>
    </row>
    <row r="267" spans="1:5" x14ac:dyDescent="0.25">
      <c r="A267" t="s">
        <v>203</v>
      </c>
      <c r="B267" t="s">
        <v>116</v>
      </c>
      <c r="C267" t="s">
        <v>46</v>
      </c>
      <c r="D267" t="s">
        <v>660</v>
      </c>
      <c r="E267" s="15" t="s">
        <v>9</v>
      </c>
    </row>
    <row r="268" spans="1:5" x14ac:dyDescent="0.25">
      <c r="A268" t="s">
        <v>203</v>
      </c>
      <c r="B268" t="s">
        <v>116</v>
      </c>
      <c r="C268" t="s">
        <v>46</v>
      </c>
      <c r="D268" t="s">
        <v>664</v>
      </c>
      <c r="E268" s="15" t="s">
        <v>9</v>
      </c>
    </row>
    <row r="269" spans="1:5" x14ac:dyDescent="0.25">
      <c r="A269" t="s">
        <v>203</v>
      </c>
      <c r="B269" t="s">
        <v>116</v>
      </c>
      <c r="C269" t="s">
        <v>46</v>
      </c>
      <c r="D269" t="s">
        <v>666</v>
      </c>
      <c r="E269" s="15" t="s">
        <v>9</v>
      </c>
    </row>
    <row r="270" spans="1:5" x14ac:dyDescent="0.25">
      <c r="A270" t="s">
        <v>203</v>
      </c>
      <c r="B270" t="s">
        <v>116</v>
      </c>
      <c r="C270" t="s">
        <v>46</v>
      </c>
      <c r="D270" t="s">
        <v>667</v>
      </c>
      <c r="E270" s="15" t="s">
        <v>9</v>
      </c>
    </row>
    <row r="271" spans="1:5" x14ac:dyDescent="0.25">
      <c r="A271" t="s">
        <v>203</v>
      </c>
      <c r="B271" t="s">
        <v>116</v>
      </c>
      <c r="C271" t="s">
        <v>46</v>
      </c>
      <c r="D271" t="s">
        <v>669</v>
      </c>
      <c r="E271" s="15" t="s">
        <v>9</v>
      </c>
    </row>
    <row r="272" spans="1:5" x14ac:dyDescent="0.25">
      <c r="A272" t="s">
        <v>203</v>
      </c>
      <c r="B272" t="s">
        <v>116</v>
      </c>
      <c r="C272" t="s">
        <v>46</v>
      </c>
      <c r="D272" t="s">
        <v>670</v>
      </c>
      <c r="E272" s="15" t="s">
        <v>9</v>
      </c>
    </row>
    <row r="273" spans="1:5" x14ac:dyDescent="0.25">
      <c r="A273" t="s">
        <v>203</v>
      </c>
      <c r="B273" t="s">
        <v>116</v>
      </c>
      <c r="C273" t="s">
        <v>46</v>
      </c>
      <c r="D273" t="s">
        <v>671</v>
      </c>
      <c r="E273" s="15" t="s">
        <v>9</v>
      </c>
    </row>
    <row r="274" spans="1:5" x14ac:dyDescent="0.25">
      <c r="A274" t="s">
        <v>203</v>
      </c>
      <c r="B274" t="s">
        <v>116</v>
      </c>
      <c r="C274" t="s">
        <v>46</v>
      </c>
      <c r="D274" t="s">
        <v>672</v>
      </c>
      <c r="E274" s="15" t="s">
        <v>9</v>
      </c>
    </row>
    <row r="275" spans="1:5" x14ac:dyDescent="0.25">
      <c r="A275" t="s">
        <v>203</v>
      </c>
      <c r="B275" t="s">
        <v>116</v>
      </c>
      <c r="C275" t="s">
        <v>46</v>
      </c>
      <c r="D275" t="s">
        <v>673</v>
      </c>
      <c r="E275" s="15" t="s">
        <v>9</v>
      </c>
    </row>
    <row r="276" spans="1:5" x14ac:dyDescent="0.25">
      <c r="A276" t="s">
        <v>203</v>
      </c>
      <c r="B276" t="s">
        <v>116</v>
      </c>
      <c r="C276" t="s">
        <v>46</v>
      </c>
      <c r="D276" t="s">
        <v>676</v>
      </c>
      <c r="E276" s="15" t="s">
        <v>9</v>
      </c>
    </row>
    <row r="277" spans="1:5" x14ac:dyDescent="0.25">
      <c r="A277" t="s">
        <v>203</v>
      </c>
      <c r="B277" t="s">
        <v>116</v>
      </c>
      <c r="C277" t="s">
        <v>46</v>
      </c>
      <c r="D277" t="s">
        <v>683</v>
      </c>
      <c r="E277" s="15" t="s">
        <v>9</v>
      </c>
    </row>
    <row r="278" spans="1:5" x14ac:dyDescent="0.25">
      <c r="A278" t="s">
        <v>203</v>
      </c>
      <c r="B278" t="s">
        <v>116</v>
      </c>
      <c r="C278" t="s">
        <v>46</v>
      </c>
      <c r="D278" t="s">
        <v>681</v>
      </c>
      <c r="E278" s="15" t="s">
        <v>9</v>
      </c>
    </row>
    <row r="279" spans="1:5" x14ac:dyDescent="0.25">
      <c r="A279" t="s">
        <v>203</v>
      </c>
      <c r="B279" t="s">
        <v>116</v>
      </c>
      <c r="C279" t="s">
        <v>46</v>
      </c>
      <c r="D279" t="s">
        <v>682</v>
      </c>
      <c r="E279" s="15" t="s">
        <v>9</v>
      </c>
    </row>
    <row r="280" spans="1:5" x14ac:dyDescent="0.25">
      <c r="A280" t="s">
        <v>203</v>
      </c>
      <c r="B280" t="s">
        <v>116</v>
      </c>
      <c r="C280" t="s">
        <v>46</v>
      </c>
      <c r="D280" t="s">
        <v>680</v>
      </c>
      <c r="E280" s="15" t="s">
        <v>9</v>
      </c>
    </row>
    <row r="281" spans="1:5" x14ac:dyDescent="0.25">
      <c r="A281" t="s">
        <v>203</v>
      </c>
      <c r="B281" t="s">
        <v>116</v>
      </c>
      <c r="C281" t="s">
        <v>46</v>
      </c>
      <c r="D281" t="s">
        <v>678</v>
      </c>
      <c r="E281" s="15" t="s">
        <v>9</v>
      </c>
    </row>
    <row r="282" spans="1:5" x14ac:dyDescent="0.25">
      <c r="A282" t="s">
        <v>203</v>
      </c>
      <c r="B282" t="s">
        <v>116</v>
      </c>
      <c r="C282" t="s">
        <v>46</v>
      </c>
      <c r="D282" t="s">
        <v>696</v>
      </c>
      <c r="E282" s="15" t="s">
        <v>9</v>
      </c>
    </row>
    <row r="283" spans="1:5" x14ac:dyDescent="0.25">
      <c r="A283" t="s">
        <v>203</v>
      </c>
      <c r="B283" t="s">
        <v>116</v>
      </c>
      <c r="C283" t="s">
        <v>46</v>
      </c>
      <c r="D283" t="s">
        <v>679</v>
      </c>
      <c r="E283" s="15" t="s">
        <v>9</v>
      </c>
    </row>
    <row r="284" spans="1:5" x14ac:dyDescent="0.25">
      <c r="A284" t="s">
        <v>190</v>
      </c>
      <c r="B284" t="s">
        <v>191</v>
      </c>
      <c r="C284" t="s">
        <v>46</v>
      </c>
      <c r="D284" s="15" t="s">
        <v>196</v>
      </c>
      <c r="E284" s="15" t="s">
        <v>9</v>
      </c>
    </row>
    <row r="285" spans="1:5" ht="45" x14ac:dyDescent="0.25">
      <c r="A285" t="s">
        <v>190</v>
      </c>
      <c r="B285" t="s">
        <v>191</v>
      </c>
      <c r="C285" t="s">
        <v>46</v>
      </c>
      <c r="D285" s="16" t="s">
        <v>606</v>
      </c>
      <c r="E285" s="15" t="s">
        <v>9</v>
      </c>
    </row>
    <row r="286" spans="1:5" ht="45" x14ac:dyDescent="0.25">
      <c r="A286" t="s">
        <v>190</v>
      </c>
      <c r="B286" t="s">
        <v>191</v>
      </c>
      <c r="C286" t="s">
        <v>46</v>
      </c>
      <c r="D286" s="16" t="s">
        <v>607</v>
      </c>
      <c r="E286" s="15" t="s">
        <v>9</v>
      </c>
    </row>
    <row r="287" spans="1:5" x14ac:dyDescent="0.25">
      <c r="A287" t="s">
        <v>190</v>
      </c>
      <c r="B287" t="s">
        <v>191</v>
      </c>
      <c r="C287" t="s">
        <v>46</v>
      </c>
      <c r="D287" t="s">
        <v>683</v>
      </c>
      <c r="E287" s="15" t="s">
        <v>9</v>
      </c>
    </row>
    <row r="288" spans="1:5" x14ac:dyDescent="0.25">
      <c r="A288" t="s">
        <v>190</v>
      </c>
      <c r="B288" t="s">
        <v>191</v>
      </c>
      <c r="C288" t="s">
        <v>46</v>
      </c>
      <c r="D288" t="s">
        <v>682</v>
      </c>
      <c r="E288" s="15" t="s">
        <v>9</v>
      </c>
    </row>
    <row r="289" spans="1:5" x14ac:dyDescent="0.25">
      <c r="A289" t="s">
        <v>190</v>
      </c>
      <c r="B289" t="s">
        <v>191</v>
      </c>
      <c r="C289" t="s">
        <v>46</v>
      </c>
      <c r="D289" t="s">
        <v>681</v>
      </c>
      <c r="E289" s="15" t="s">
        <v>9</v>
      </c>
    </row>
    <row r="290" spans="1:5" x14ac:dyDescent="0.25">
      <c r="A290" t="s">
        <v>190</v>
      </c>
      <c r="B290" t="s">
        <v>191</v>
      </c>
      <c r="C290" t="s">
        <v>46</v>
      </c>
      <c r="D290" t="s">
        <v>680</v>
      </c>
      <c r="E290" s="15" t="s">
        <v>9</v>
      </c>
    </row>
    <row r="291" spans="1:5" x14ac:dyDescent="0.25">
      <c r="A291" t="s">
        <v>190</v>
      </c>
      <c r="B291" t="s">
        <v>191</v>
      </c>
      <c r="C291" t="s">
        <v>46</v>
      </c>
      <c r="D291" t="s">
        <v>678</v>
      </c>
      <c r="E291" s="15" t="s">
        <v>9</v>
      </c>
    </row>
    <row r="292" spans="1:5" x14ac:dyDescent="0.25">
      <c r="A292" t="s">
        <v>190</v>
      </c>
      <c r="B292" t="s">
        <v>191</v>
      </c>
      <c r="C292" t="s">
        <v>46</v>
      </c>
      <c r="D292" t="s">
        <v>679</v>
      </c>
      <c r="E292" s="15" t="s">
        <v>9</v>
      </c>
    </row>
    <row r="293" spans="1:5" x14ac:dyDescent="0.25">
      <c r="A293" t="s">
        <v>189</v>
      </c>
      <c r="B293" t="s">
        <v>187</v>
      </c>
      <c r="C293" t="s">
        <v>46</v>
      </c>
      <c r="D293" s="15" t="s">
        <v>196</v>
      </c>
      <c r="E293" s="15" t="s">
        <v>9</v>
      </c>
    </row>
    <row r="294" spans="1:5" ht="45" x14ac:dyDescent="0.25">
      <c r="A294" t="s">
        <v>189</v>
      </c>
      <c r="B294" t="s">
        <v>187</v>
      </c>
      <c r="C294" t="s">
        <v>46</v>
      </c>
      <c r="D294" s="15" t="s">
        <v>606</v>
      </c>
      <c r="E294" s="15" t="s">
        <v>9</v>
      </c>
    </row>
    <row r="295" spans="1:5" ht="45" x14ac:dyDescent="0.25">
      <c r="A295" t="s">
        <v>189</v>
      </c>
      <c r="B295" t="s">
        <v>187</v>
      </c>
      <c r="C295" t="s">
        <v>46</v>
      </c>
      <c r="D295" s="15" t="s">
        <v>607</v>
      </c>
      <c r="E295" s="15" t="s">
        <v>9</v>
      </c>
    </row>
    <row r="296" spans="1:5" x14ac:dyDescent="0.25">
      <c r="A296" t="s">
        <v>189</v>
      </c>
      <c r="B296" t="s">
        <v>187</v>
      </c>
      <c r="C296" t="s">
        <v>46</v>
      </c>
      <c r="D296" t="s">
        <v>683</v>
      </c>
      <c r="E296" s="15" t="s">
        <v>9</v>
      </c>
    </row>
    <row r="297" spans="1:5" x14ac:dyDescent="0.25">
      <c r="A297" t="s">
        <v>189</v>
      </c>
      <c r="B297" t="s">
        <v>187</v>
      </c>
      <c r="C297" t="s">
        <v>46</v>
      </c>
      <c r="D297" t="s">
        <v>682</v>
      </c>
      <c r="E297" s="15" t="s">
        <v>9</v>
      </c>
    </row>
    <row r="298" spans="1:5" x14ac:dyDescent="0.25">
      <c r="A298" t="s">
        <v>189</v>
      </c>
      <c r="B298" t="s">
        <v>187</v>
      </c>
      <c r="C298" t="s">
        <v>46</v>
      </c>
      <c r="D298" t="s">
        <v>681</v>
      </c>
      <c r="E298" s="15" t="s">
        <v>9</v>
      </c>
    </row>
    <row r="299" spans="1:5" x14ac:dyDescent="0.25">
      <c r="A299" t="s">
        <v>189</v>
      </c>
      <c r="B299" t="s">
        <v>187</v>
      </c>
      <c r="C299" t="s">
        <v>46</v>
      </c>
      <c r="D299" t="s">
        <v>680</v>
      </c>
      <c r="E299" s="15" t="s">
        <v>9</v>
      </c>
    </row>
    <row r="300" spans="1:5" x14ac:dyDescent="0.25">
      <c r="A300" t="s">
        <v>189</v>
      </c>
      <c r="B300" t="s">
        <v>187</v>
      </c>
      <c r="C300" t="s">
        <v>46</v>
      </c>
      <c r="D300" t="s">
        <v>678</v>
      </c>
      <c r="E300" s="15" t="s">
        <v>9</v>
      </c>
    </row>
    <row r="301" spans="1:5" x14ac:dyDescent="0.25">
      <c r="A301" t="s">
        <v>189</v>
      </c>
      <c r="B301" t="s">
        <v>187</v>
      </c>
      <c r="C301" t="s">
        <v>46</v>
      </c>
      <c r="D301" t="s">
        <v>679</v>
      </c>
      <c r="E301" s="15" t="s">
        <v>9</v>
      </c>
    </row>
    <row r="302" spans="1:5" x14ac:dyDescent="0.25">
      <c r="A302" t="s">
        <v>202</v>
      </c>
      <c r="B302" t="s">
        <v>199</v>
      </c>
      <c r="C302" t="s">
        <v>46</v>
      </c>
      <c r="D302" s="15" t="s">
        <v>196</v>
      </c>
      <c r="E302" s="15" t="s">
        <v>9</v>
      </c>
    </row>
    <row r="303" spans="1:5" x14ac:dyDescent="0.25">
      <c r="A303" t="s">
        <v>197</v>
      </c>
      <c r="B303" t="s">
        <v>195</v>
      </c>
      <c r="C303" t="s">
        <v>46</v>
      </c>
      <c r="D303" s="15" t="s">
        <v>196</v>
      </c>
      <c r="E303" s="15" t="s">
        <v>9</v>
      </c>
    </row>
    <row r="304" spans="1:5" x14ac:dyDescent="0.25">
      <c r="A304" t="s">
        <v>197</v>
      </c>
      <c r="B304" t="s">
        <v>195</v>
      </c>
      <c r="C304" t="s">
        <v>46</v>
      </c>
      <c r="D304" t="s">
        <v>678</v>
      </c>
      <c r="E304" s="15" t="s">
        <v>9</v>
      </c>
    </row>
    <row r="305" spans="1:5" x14ac:dyDescent="0.25">
      <c r="A305" t="s">
        <v>197</v>
      </c>
      <c r="B305" t="s">
        <v>195</v>
      </c>
      <c r="C305" t="s">
        <v>46</v>
      </c>
      <c r="D305" t="s">
        <v>679</v>
      </c>
      <c r="E305" s="15" t="s">
        <v>9</v>
      </c>
    </row>
    <row r="306" spans="1:5" x14ac:dyDescent="0.25">
      <c r="A306" t="s">
        <v>197</v>
      </c>
      <c r="B306" t="s">
        <v>195</v>
      </c>
      <c r="C306" t="s">
        <v>46</v>
      </c>
      <c r="D306" t="s">
        <v>680</v>
      </c>
      <c r="E306" s="15" t="s">
        <v>9</v>
      </c>
    </row>
    <row r="307" spans="1:5" x14ac:dyDescent="0.25">
      <c r="A307" t="s">
        <v>197</v>
      </c>
      <c r="B307" t="s">
        <v>195</v>
      </c>
      <c r="C307" t="s">
        <v>46</v>
      </c>
      <c r="D307" t="s">
        <v>681</v>
      </c>
      <c r="E307" s="15" t="s">
        <v>9</v>
      </c>
    </row>
    <row r="308" spans="1:5" x14ac:dyDescent="0.25">
      <c r="A308" t="s">
        <v>197</v>
      </c>
      <c r="B308" t="s">
        <v>195</v>
      </c>
      <c r="C308" t="s">
        <v>46</v>
      </c>
      <c r="D308" t="s">
        <v>682</v>
      </c>
      <c r="E308" s="15" t="s">
        <v>9</v>
      </c>
    </row>
    <row r="309" spans="1:5" x14ac:dyDescent="0.25">
      <c r="A309" t="s">
        <v>197</v>
      </c>
      <c r="B309" t="s">
        <v>195</v>
      </c>
      <c r="C309" t="s">
        <v>46</v>
      </c>
      <c r="D309" t="s">
        <v>683</v>
      </c>
      <c r="E309" s="15" t="s">
        <v>9</v>
      </c>
    </row>
    <row r="310" spans="1:5" ht="30" x14ac:dyDescent="0.25">
      <c r="A310" t="s">
        <v>175</v>
      </c>
      <c r="B310" t="s">
        <v>143</v>
      </c>
      <c r="C310" t="s">
        <v>46</v>
      </c>
      <c r="D310" s="15" t="s">
        <v>609</v>
      </c>
      <c r="E310" s="15" t="s">
        <v>9</v>
      </c>
    </row>
    <row r="311" spans="1:5" ht="30" x14ac:dyDescent="0.25">
      <c r="A311" t="s">
        <v>175</v>
      </c>
      <c r="B311" t="s">
        <v>143</v>
      </c>
      <c r="C311" t="s">
        <v>46</v>
      </c>
      <c r="D311" s="15" t="s">
        <v>610</v>
      </c>
      <c r="E311" s="15" t="s">
        <v>9</v>
      </c>
    </row>
    <row r="312" spans="1:5" x14ac:dyDescent="0.25">
      <c r="A312" t="s">
        <v>175</v>
      </c>
      <c r="B312" t="s">
        <v>143</v>
      </c>
      <c r="C312" t="s">
        <v>46</v>
      </c>
      <c r="D312" t="s">
        <v>637</v>
      </c>
      <c r="E312" s="15" t="s">
        <v>9</v>
      </c>
    </row>
    <row r="313" spans="1:5" x14ac:dyDescent="0.25">
      <c r="A313" t="s">
        <v>175</v>
      </c>
      <c r="B313" t="s">
        <v>143</v>
      </c>
      <c r="C313" t="s">
        <v>46</v>
      </c>
      <c r="D313" t="s">
        <v>611</v>
      </c>
      <c r="E313" s="15" t="s">
        <v>9</v>
      </c>
    </row>
    <row r="314" spans="1:5" x14ac:dyDescent="0.25">
      <c r="A314" t="s">
        <v>174</v>
      </c>
      <c r="B314" t="s">
        <v>173</v>
      </c>
      <c r="C314" t="s">
        <v>46</v>
      </c>
      <c r="D314" t="s">
        <v>611</v>
      </c>
      <c r="E314" s="15" t="s">
        <v>9</v>
      </c>
    </row>
    <row r="315" spans="1:5" x14ac:dyDescent="0.25">
      <c r="A315" t="s">
        <v>174</v>
      </c>
      <c r="B315" t="s">
        <v>173</v>
      </c>
      <c r="C315" t="s">
        <v>46</v>
      </c>
      <c r="D315" t="s">
        <v>623</v>
      </c>
      <c r="E315" s="15" t="s">
        <v>9</v>
      </c>
    </row>
    <row r="316" spans="1:5" x14ac:dyDescent="0.25">
      <c r="A316" t="s">
        <v>174</v>
      </c>
      <c r="B316" t="s">
        <v>173</v>
      </c>
      <c r="C316" t="s">
        <v>46</v>
      </c>
      <c r="D316" t="s">
        <v>634</v>
      </c>
      <c r="E316" s="15" t="s">
        <v>9</v>
      </c>
    </row>
    <row r="317" spans="1:5" x14ac:dyDescent="0.25">
      <c r="A317" t="s">
        <v>174</v>
      </c>
      <c r="B317" t="s">
        <v>173</v>
      </c>
      <c r="C317" t="s">
        <v>46</v>
      </c>
      <c r="D317" t="s">
        <v>637</v>
      </c>
      <c r="E317" s="15" t="s">
        <v>9</v>
      </c>
    </row>
  </sheetData>
  <mergeCells count="5">
    <mergeCell ref="G1:G2"/>
    <mergeCell ref="G4:G5"/>
    <mergeCell ref="G7:G8"/>
    <mergeCell ref="H8:I8"/>
    <mergeCell ref="K8:L8"/>
  </mergeCells>
  <conditionalFormatting sqref="H5:M5">
    <cfRule type="cellIs" dxfId="61" priority="1" operator="greaterThan">
      <formula>0.2</formula>
    </cfRule>
    <cfRule type="cellIs" dxfId="60" priority="2" operator="greaterThan">
      <formula>0.1</formula>
    </cfRule>
    <cfRule type="cellIs" dxfId="59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2"/>
  <sheetViews>
    <sheetView zoomScale="55" zoomScaleNormal="55" workbookViewId="0">
      <selection activeCell="J6" sqref="J6"/>
    </sheetView>
  </sheetViews>
  <sheetFormatPr defaultRowHeight="15" x14ac:dyDescent="0.25"/>
  <cols>
    <col min="1" max="1" width="14.42578125" bestFit="1" customWidth="1"/>
    <col min="2" max="2" width="13.5703125" customWidth="1"/>
    <col min="3" max="3" width="58.28515625" bestFit="1" customWidth="1"/>
    <col min="4" max="4" width="31" bestFit="1" customWidth="1"/>
    <col min="5" max="5" width="31" style="15" bestFit="1" customWidth="1"/>
    <col min="6" max="6" width="12" style="15" customWidth="1"/>
    <col min="7" max="7" width="19.57031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s="15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90.75" thickBot="1" x14ac:dyDescent="0.3">
      <c r="A2" t="s">
        <v>113</v>
      </c>
      <c r="B2" t="s">
        <v>114</v>
      </c>
      <c r="C2" t="s">
        <v>112</v>
      </c>
      <c r="D2" s="16" t="s">
        <v>162</v>
      </c>
      <c r="E2" s="15" t="s">
        <v>215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45.75" thickBot="1" x14ac:dyDescent="0.3">
      <c r="A3" t="s">
        <v>166</v>
      </c>
      <c r="B3" t="s">
        <v>164</v>
      </c>
      <c r="C3" t="s">
        <v>7</v>
      </c>
      <c r="D3" s="16" t="s">
        <v>162</v>
      </c>
      <c r="E3" s="15" t="s">
        <v>211</v>
      </c>
    </row>
    <row r="4" spans="1:16" ht="30" x14ac:dyDescent="0.25">
      <c r="A4" t="s">
        <v>163</v>
      </c>
      <c r="B4" t="s">
        <v>164</v>
      </c>
      <c r="C4" t="s">
        <v>46</v>
      </c>
      <c r="D4" s="15" t="s">
        <v>162</v>
      </c>
      <c r="E4" s="15" t="s">
        <v>165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customHeight="1" thickBot="1" x14ac:dyDescent="0.3">
      <c r="A5" t="s">
        <v>167</v>
      </c>
      <c r="B5" t="s">
        <v>119</v>
      </c>
      <c r="C5" t="s">
        <v>46</v>
      </c>
      <c r="D5" s="16" t="s">
        <v>162</v>
      </c>
      <c r="E5" s="15" t="s">
        <v>165</v>
      </c>
      <c r="G5" s="101"/>
      <c r="H5" s="7">
        <v>0</v>
      </c>
      <c r="I5" s="7">
        <v>6.6564899999999996E-2</v>
      </c>
      <c r="J5" s="7">
        <v>0</v>
      </c>
      <c r="K5" s="7">
        <v>6.5174999999999999E-3</v>
      </c>
      <c r="L5" s="7">
        <v>0</v>
      </c>
      <c r="M5" s="8">
        <v>0</v>
      </c>
    </row>
    <row r="6" spans="1:16" ht="45.75" thickBot="1" x14ac:dyDescent="0.3">
      <c r="A6" t="s">
        <v>168</v>
      </c>
      <c r="B6" t="s">
        <v>119</v>
      </c>
      <c r="C6" t="s">
        <v>7</v>
      </c>
      <c r="D6" s="16" t="s">
        <v>162</v>
      </c>
      <c r="E6" s="15" t="s">
        <v>212</v>
      </c>
    </row>
    <row r="7" spans="1:16" ht="45" x14ac:dyDescent="0.25">
      <c r="A7" t="s">
        <v>171</v>
      </c>
      <c r="B7" t="s">
        <v>170</v>
      </c>
      <c r="C7" t="s">
        <v>7</v>
      </c>
      <c r="D7" s="16" t="s">
        <v>162</v>
      </c>
      <c r="E7" s="15" t="s">
        <v>211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30.75" thickBot="1" x14ac:dyDescent="0.3">
      <c r="A8" t="s">
        <v>169</v>
      </c>
      <c r="B8" t="s">
        <v>170</v>
      </c>
      <c r="C8" t="s">
        <v>46</v>
      </c>
      <c r="D8" s="16" t="s">
        <v>162</v>
      </c>
      <c r="E8" s="15" t="s">
        <v>165</v>
      </c>
      <c r="G8" s="101"/>
      <c r="H8" s="102">
        <f>AVERAGE(H5:M5)</f>
        <v>1.2180399999999999E-2</v>
      </c>
      <c r="I8" s="102"/>
      <c r="J8" s="11"/>
      <c r="K8" s="102">
        <f>SUMPRODUCT(H2:M2,H5:M5)</f>
        <v>1.4729099399999999E-2</v>
      </c>
      <c r="L8" s="102"/>
      <c r="M8" s="12"/>
    </row>
    <row r="9" spans="1:16" ht="45" x14ac:dyDescent="0.25">
      <c r="A9" t="s">
        <v>172</v>
      </c>
      <c r="B9" t="s">
        <v>173</v>
      </c>
      <c r="C9" t="s">
        <v>7</v>
      </c>
      <c r="D9" s="15" t="s">
        <v>162</v>
      </c>
      <c r="E9" s="15" t="s">
        <v>212</v>
      </c>
    </row>
    <row r="10" spans="1:16" ht="30" x14ac:dyDescent="0.25">
      <c r="A10" t="s">
        <v>174</v>
      </c>
      <c r="B10" t="s">
        <v>173</v>
      </c>
      <c r="C10" t="s">
        <v>46</v>
      </c>
      <c r="D10" s="16" t="s">
        <v>162</v>
      </c>
      <c r="E10" s="15" t="s">
        <v>165</v>
      </c>
      <c r="J10">
        <v>0</v>
      </c>
      <c r="K10">
        <v>0</v>
      </c>
      <c r="L10">
        <v>6.6564899999999996E-2</v>
      </c>
      <c r="M10">
        <v>0</v>
      </c>
      <c r="N10">
        <v>6.5174999999999999E-3</v>
      </c>
      <c r="O10">
        <v>0</v>
      </c>
      <c r="P10">
        <v>0</v>
      </c>
    </row>
    <row r="11" spans="1:16" ht="45" x14ac:dyDescent="0.25">
      <c r="A11" t="s">
        <v>142</v>
      </c>
      <c r="B11" t="s">
        <v>143</v>
      </c>
      <c r="C11" t="s">
        <v>7</v>
      </c>
      <c r="D11" s="15" t="s">
        <v>162</v>
      </c>
      <c r="E11" s="15" t="s">
        <v>212</v>
      </c>
      <c r="J11">
        <v>6.6564899999999996E-2</v>
      </c>
    </row>
    <row r="12" spans="1:16" ht="30" x14ac:dyDescent="0.25">
      <c r="A12" t="s">
        <v>175</v>
      </c>
      <c r="B12" t="s">
        <v>143</v>
      </c>
      <c r="C12" t="s">
        <v>46</v>
      </c>
      <c r="D12" s="15" t="s">
        <v>162</v>
      </c>
      <c r="E12" s="15" t="s">
        <v>165</v>
      </c>
      <c r="J12">
        <v>0</v>
      </c>
    </row>
    <row r="13" spans="1:16" ht="45" x14ac:dyDescent="0.25">
      <c r="A13" s="14" t="s">
        <v>176</v>
      </c>
      <c r="B13" t="s">
        <v>177</v>
      </c>
      <c r="C13" t="s">
        <v>16</v>
      </c>
      <c r="D13" s="15" t="s">
        <v>178</v>
      </c>
      <c r="E13" s="15" t="s">
        <v>214</v>
      </c>
      <c r="J13">
        <v>6.5174999999999999E-3</v>
      </c>
    </row>
    <row r="14" spans="1:16" x14ac:dyDescent="0.25">
      <c r="A14" t="s">
        <v>180</v>
      </c>
      <c r="B14" t="s">
        <v>177</v>
      </c>
      <c r="C14" t="s">
        <v>181</v>
      </c>
      <c r="D14" s="15" t="s">
        <v>178</v>
      </c>
      <c r="E14" s="15" t="s">
        <v>9</v>
      </c>
      <c r="J14">
        <v>0</v>
      </c>
    </row>
    <row r="15" spans="1:16" ht="45" x14ac:dyDescent="0.25">
      <c r="A15" t="s">
        <v>207</v>
      </c>
      <c r="B15" t="s">
        <v>206</v>
      </c>
      <c r="C15" t="s">
        <v>16</v>
      </c>
      <c r="D15" s="15" t="s">
        <v>178</v>
      </c>
      <c r="E15" s="15" t="s">
        <v>214</v>
      </c>
      <c r="J15">
        <v>0</v>
      </c>
    </row>
    <row r="16" spans="1:16" x14ac:dyDescent="0.25">
      <c r="A16" t="s">
        <v>205</v>
      </c>
      <c r="B16" t="s">
        <v>206</v>
      </c>
      <c r="C16" t="s">
        <v>181</v>
      </c>
      <c r="D16" s="15" t="s">
        <v>178</v>
      </c>
      <c r="E16" s="15" t="s">
        <v>9</v>
      </c>
    </row>
    <row r="17" spans="1:5" customFormat="1" x14ac:dyDescent="0.25">
      <c r="A17" t="s">
        <v>184</v>
      </c>
      <c r="B17" t="s">
        <v>183</v>
      </c>
      <c r="C17" t="s">
        <v>181</v>
      </c>
      <c r="D17" s="15" t="s">
        <v>178</v>
      </c>
      <c r="E17" s="15" t="s">
        <v>9</v>
      </c>
    </row>
    <row r="18" spans="1:5" customFormat="1" ht="45" x14ac:dyDescent="0.25">
      <c r="A18" t="s">
        <v>182</v>
      </c>
      <c r="B18" t="s">
        <v>183</v>
      </c>
      <c r="C18" t="s">
        <v>16</v>
      </c>
      <c r="D18" s="15" t="s">
        <v>178</v>
      </c>
      <c r="E18" s="15" t="s">
        <v>214</v>
      </c>
    </row>
    <row r="19" spans="1:5" customFormat="1" ht="45" x14ac:dyDescent="0.25">
      <c r="A19" t="s">
        <v>142</v>
      </c>
      <c r="B19" t="s">
        <v>143</v>
      </c>
      <c r="C19" t="s">
        <v>7</v>
      </c>
      <c r="D19" s="15" t="s">
        <v>178</v>
      </c>
      <c r="E19" s="15" t="s">
        <v>213</v>
      </c>
    </row>
    <row r="20" spans="1:5" customFormat="1" ht="30" x14ac:dyDescent="0.25">
      <c r="A20" t="s">
        <v>175</v>
      </c>
      <c r="B20" t="s">
        <v>143</v>
      </c>
      <c r="C20" t="s">
        <v>46</v>
      </c>
      <c r="D20" s="16" t="s">
        <v>178</v>
      </c>
      <c r="E20" s="15" t="s">
        <v>185</v>
      </c>
    </row>
    <row r="21" spans="1:5" customFormat="1" x14ac:dyDescent="0.25">
      <c r="A21" t="s">
        <v>193</v>
      </c>
      <c r="B21" t="s">
        <v>116</v>
      </c>
      <c r="C21" t="s">
        <v>19</v>
      </c>
      <c r="D21" s="15" t="s">
        <v>188</v>
      </c>
      <c r="E21" s="15" t="s">
        <v>9</v>
      </c>
    </row>
    <row r="22" spans="1:5" customFormat="1" ht="30" x14ac:dyDescent="0.25">
      <c r="A22" t="s">
        <v>163</v>
      </c>
      <c r="B22" t="s">
        <v>164</v>
      </c>
      <c r="C22" t="s">
        <v>46</v>
      </c>
      <c r="D22" s="16" t="s">
        <v>188</v>
      </c>
      <c r="E22" s="15" t="s">
        <v>185</v>
      </c>
    </row>
    <row r="23" spans="1:5" customFormat="1" ht="45" x14ac:dyDescent="0.25">
      <c r="A23" t="s">
        <v>166</v>
      </c>
      <c r="B23" t="s">
        <v>164</v>
      </c>
      <c r="C23" t="s">
        <v>7</v>
      </c>
      <c r="D23" s="15" t="s">
        <v>188</v>
      </c>
      <c r="E23" s="15" t="s">
        <v>213</v>
      </c>
    </row>
    <row r="24" spans="1:5" customFormat="1" ht="45" x14ac:dyDescent="0.25">
      <c r="A24" t="s">
        <v>171</v>
      </c>
      <c r="B24" t="s">
        <v>170</v>
      </c>
      <c r="C24" t="s">
        <v>7</v>
      </c>
      <c r="D24" s="15" t="s">
        <v>188</v>
      </c>
      <c r="E24" s="15" t="s">
        <v>214</v>
      </c>
    </row>
    <row r="25" spans="1:5" customFormat="1" ht="30" x14ac:dyDescent="0.25">
      <c r="A25" t="s">
        <v>169</v>
      </c>
      <c r="B25" t="s">
        <v>170</v>
      </c>
      <c r="C25" t="s">
        <v>46</v>
      </c>
      <c r="D25" s="15" t="s">
        <v>188</v>
      </c>
      <c r="E25" s="15" t="s">
        <v>185</v>
      </c>
    </row>
    <row r="26" spans="1:5" customFormat="1" ht="45" x14ac:dyDescent="0.25">
      <c r="A26" t="s">
        <v>172</v>
      </c>
      <c r="B26" t="s">
        <v>173</v>
      </c>
      <c r="C26" t="s">
        <v>7</v>
      </c>
      <c r="D26" s="15" t="s">
        <v>188</v>
      </c>
      <c r="E26" s="15" t="s">
        <v>214</v>
      </c>
    </row>
    <row r="27" spans="1:5" customFormat="1" ht="30" x14ac:dyDescent="0.25">
      <c r="A27" t="s">
        <v>174</v>
      </c>
      <c r="B27" t="s">
        <v>173</v>
      </c>
      <c r="C27" t="s">
        <v>46</v>
      </c>
      <c r="D27" s="15" t="s">
        <v>188</v>
      </c>
      <c r="E27" s="15" t="s">
        <v>185</v>
      </c>
    </row>
    <row r="28" spans="1:5" customFormat="1" ht="30" x14ac:dyDescent="0.25">
      <c r="A28" t="s">
        <v>175</v>
      </c>
      <c r="B28" t="s">
        <v>143</v>
      </c>
      <c r="C28" t="s">
        <v>46</v>
      </c>
      <c r="D28" s="15" t="s">
        <v>188</v>
      </c>
      <c r="E28" s="15" t="s">
        <v>185</v>
      </c>
    </row>
    <row r="29" spans="1:5" customFormat="1" ht="45" x14ac:dyDescent="0.25">
      <c r="A29" t="s">
        <v>142</v>
      </c>
      <c r="B29" t="s">
        <v>143</v>
      </c>
      <c r="C29" t="s">
        <v>7</v>
      </c>
      <c r="D29" s="15" t="s">
        <v>188</v>
      </c>
      <c r="E29" s="15" t="s">
        <v>214</v>
      </c>
    </row>
    <row r="30" spans="1:5" customFormat="1" x14ac:dyDescent="0.25">
      <c r="A30" t="s">
        <v>197</v>
      </c>
      <c r="B30" t="s">
        <v>195</v>
      </c>
      <c r="C30" t="s">
        <v>46</v>
      </c>
      <c r="D30" s="15" t="s">
        <v>196</v>
      </c>
      <c r="E30" s="15" t="s">
        <v>9</v>
      </c>
    </row>
    <row r="31" spans="1:5" customFormat="1" x14ac:dyDescent="0.25">
      <c r="A31" t="s">
        <v>194</v>
      </c>
      <c r="B31" t="s">
        <v>195</v>
      </c>
      <c r="C31" t="s">
        <v>7</v>
      </c>
      <c r="D31" s="15" t="s">
        <v>196</v>
      </c>
      <c r="E31" s="15" t="s">
        <v>9</v>
      </c>
    </row>
    <row r="32" spans="1:5" customFormat="1" x14ac:dyDescent="0.25">
      <c r="A32" t="s">
        <v>202</v>
      </c>
      <c r="B32" t="s">
        <v>199</v>
      </c>
      <c r="C32" t="s">
        <v>46</v>
      </c>
      <c r="D32" s="15" t="s">
        <v>196</v>
      </c>
      <c r="E32" s="15" t="s">
        <v>9</v>
      </c>
    </row>
    <row r="33" spans="1:5" customFormat="1" ht="75" x14ac:dyDescent="0.25">
      <c r="A33" t="s">
        <v>200</v>
      </c>
      <c r="B33" t="s">
        <v>199</v>
      </c>
      <c r="C33" t="s">
        <v>31</v>
      </c>
      <c r="D33" s="16" t="s">
        <v>196</v>
      </c>
      <c r="E33" s="15" t="s">
        <v>216</v>
      </c>
    </row>
    <row r="34" spans="1:5" customFormat="1" ht="75" x14ac:dyDescent="0.25">
      <c r="A34" t="s">
        <v>198</v>
      </c>
      <c r="B34" t="s">
        <v>199</v>
      </c>
      <c r="C34" t="s">
        <v>23</v>
      </c>
      <c r="D34" s="15" t="s">
        <v>196</v>
      </c>
      <c r="E34" s="15" t="s">
        <v>217</v>
      </c>
    </row>
    <row r="35" spans="1:5" customFormat="1" x14ac:dyDescent="0.25">
      <c r="A35" t="s">
        <v>201</v>
      </c>
      <c r="B35" t="s">
        <v>199</v>
      </c>
      <c r="C35" t="s">
        <v>7</v>
      </c>
      <c r="D35" s="16" t="s">
        <v>196</v>
      </c>
      <c r="E35" s="15" t="s">
        <v>9</v>
      </c>
    </row>
    <row r="36" spans="1:5" customFormat="1" x14ac:dyDescent="0.25">
      <c r="A36" t="s">
        <v>189</v>
      </c>
      <c r="B36" t="s">
        <v>187</v>
      </c>
      <c r="C36" t="s">
        <v>46</v>
      </c>
      <c r="D36" s="15" t="s">
        <v>196</v>
      </c>
      <c r="E36" s="15" t="s">
        <v>9</v>
      </c>
    </row>
    <row r="37" spans="1:5" customFormat="1" x14ac:dyDescent="0.25">
      <c r="A37" t="s">
        <v>186</v>
      </c>
      <c r="B37" t="s">
        <v>187</v>
      </c>
      <c r="C37" t="s">
        <v>7</v>
      </c>
      <c r="D37" s="16" t="s">
        <v>196</v>
      </c>
      <c r="E37" s="15" t="s">
        <v>9</v>
      </c>
    </row>
    <row r="38" spans="1:5" customFormat="1" x14ac:dyDescent="0.25">
      <c r="A38" t="s">
        <v>192</v>
      </c>
      <c r="B38" t="s">
        <v>191</v>
      </c>
      <c r="C38" t="s">
        <v>7</v>
      </c>
      <c r="D38" s="16" t="s">
        <v>196</v>
      </c>
      <c r="E38" s="15" t="s">
        <v>9</v>
      </c>
    </row>
    <row r="39" spans="1:5" customFormat="1" x14ac:dyDescent="0.25">
      <c r="A39" t="s">
        <v>190</v>
      </c>
      <c r="B39" t="s">
        <v>191</v>
      </c>
      <c r="C39" t="s">
        <v>46</v>
      </c>
      <c r="D39" s="15" t="s">
        <v>196</v>
      </c>
      <c r="E39" s="15" t="s">
        <v>9</v>
      </c>
    </row>
    <row r="40" spans="1:5" customFormat="1" x14ac:dyDescent="0.25">
      <c r="A40" t="s">
        <v>203</v>
      </c>
      <c r="B40" t="s">
        <v>116</v>
      </c>
      <c r="C40" t="s">
        <v>46</v>
      </c>
      <c r="D40" s="15" t="s">
        <v>196</v>
      </c>
      <c r="E40" s="15" t="s">
        <v>9</v>
      </c>
    </row>
    <row r="41" spans="1:5" customFormat="1" x14ac:dyDescent="0.25">
      <c r="A41" t="s">
        <v>193</v>
      </c>
      <c r="B41" t="s">
        <v>116</v>
      </c>
      <c r="C41" t="s">
        <v>19</v>
      </c>
      <c r="D41" s="15" t="s">
        <v>196</v>
      </c>
      <c r="E41" s="15" t="s">
        <v>9</v>
      </c>
    </row>
    <row r="42" spans="1:5" customFormat="1" x14ac:dyDescent="0.25">
      <c r="A42" t="s">
        <v>115</v>
      </c>
      <c r="B42" t="s">
        <v>116</v>
      </c>
      <c r="C42" t="s">
        <v>7</v>
      </c>
      <c r="D42" s="16" t="s">
        <v>196</v>
      </c>
      <c r="E42" s="15" t="s">
        <v>9</v>
      </c>
    </row>
    <row r="43" spans="1:5" customFormat="1" x14ac:dyDescent="0.25">
      <c r="A43" t="s">
        <v>204</v>
      </c>
      <c r="B43" t="s">
        <v>141</v>
      </c>
      <c r="C43" t="s">
        <v>46</v>
      </c>
      <c r="D43" s="16" t="s">
        <v>196</v>
      </c>
      <c r="E43" s="15" t="s">
        <v>9</v>
      </c>
    </row>
    <row r="44" spans="1:5" customFormat="1" x14ac:dyDescent="0.25">
      <c r="A44" t="s">
        <v>140</v>
      </c>
      <c r="B44" t="s">
        <v>141</v>
      </c>
      <c r="C44" t="s">
        <v>7</v>
      </c>
      <c r="D44" s="15" t="s">
        <v>196</v>
      </c>
      <c r="E44" s="15" t="s">
        <v>9</v>
      </c>
    </row>
    <row r="45" spans="1:5" customFormat="1" x14ac:dyDescent="0.25">
      <c r="A45" t="s">
        <v>45</v>
      </c>
      <c r="B45" t="s">
        <v>6</v>
      </c>
      <c r="C45" t="s">
        <v>46</v>
      </c>
      <c r="D45" s="16" t="s">
        <v>196</v>
      </c>
      <c r="E45" s="15" t="s">
        <v>9</v>
      </c>
    </row>
    <row r="46" spans="1:5" customFormat="1" x14ac:dyDescent="0.25">
      <c r="A46" t="s">
        <v>20</v>
      </c>
      <c r="B46" t="s">
        <v>6</v>
      </c>
      <c r="C46" t="s">
        <v>19</v>
      </c>
      <c r="D46" s="15" t="s">
        <v>196</v>
      </c>
      <c r="E46" s="15" t="s">
        <v>9</v>
      </c>
    </row>
    <row r="47" spans="1:5" customFormat="1" x14ac:dyDescent="0.25">
      <c r="A47" t="s">
        <v>5</v>
      </c>
      <c r="B47" t="s">
        <v>6</v>
      </c>
      <c r="C47" t="s">
        <v>7</v>
      </c>
      <c r="D47" s="15" t="s">
        <v>196</v>
      </c>
      <c r="E47" s="15" t="s">
        <v>9</v>
      </c>
    </row>
    <row r="48" spans="1:5" customFormat="1" x14ac:dyDescent="0.25">
      <c r="A48" t="s">
        <v>20</v>
      </c>
      <c r="B48" t="s">
        <v>6</v>
      </c>
      <c r="C48" t="s">
        <v>19</v>
      </c>
      <c r="D48" s="15" t="s">
        <v>208</v>
      </c>
      <c r="E48" s="15" t="s">
        <v>9</v>
      </c>
    </row>
    <row r="49" spans="1:5" customFormat="1" ht="30" x14ac:dyDescent="0.25">
      <c r="A49" t="s">
        <v>175</v>
      </c>
      <c r="B49" t="s">
        <v>143</v>
      </c>
      <c r="C49" t="s">
        <v>46</v>
      </c>
      <c r="D49" s="15" t="s">
        <v>209</v>
      </c>
      <c r="E49" s="15" t="s">
        <v>185</v>
      </c>
    </row>
    <row r="50" spans="1:5" customFormat="1" ht="30" x14ac:dyDescent="0.25">
      <c r="A50" t="s">
        <v>142</v>
      </c>
      <c r="B50" t="s">
        <v>143</v>
      </c>
      <c r="C50" t="s">
        <v>7</v>
      </c>
      <c r="D50" s="15" t="s">
        <v>209</v>
      </c>
      <c r="E50" s="15" t="s">
        <v>179</v>
      </c>
    </row>
    <row r="51" spans="1:5" customFormat="1" ht="30" x14ac:dyDescent="0.25">
      <c r="A51" t="s">
        <v>142</v>
      </c>
      <c r="B51" t="s">
        <v>143</v>
      </c>
      <c r="C51" t="s">
        <v>7</v>
      </c>
      <c r="D51" s="15" t="s">
        <v>210</v>
      </c>
      <c r="E51" s="15" t="s">
        <v>179</v>
      </c>
    </row>
    <row r="52" spans="1:5" customFormat="1" ht="30" x14ac:dyDescent="0.25">
      <c r="A52" t="s">
        <v>175</v>
      </c>
      <c r="B52" t="s">
        <v>143</v>
      </c>
      <c r="C52" t="s">
        <v>46</v>
      </c>
      <c r="D52" s="16" t="s">
        <v>210</v>
      </c>
      <c r="E52" s="15" t="s">
        <v>185</v>
      </c>
    </row>
  </sheetData>
  <mergeCells count="5">
    <mergeCell ref="G1:G2"/>
    <mergeCell ref="G4:G5"/>
    <mergeCell ref="G7:G8"/>
    <mergeCell ref="H8:I8"/>
    <mergeCell ref="K8:L8"/>
  </mergeCells>
  <conditionalFormatting sqref="H5:M5">
    <cfRule type="cellIs" dxfId="57" priority="1" operator="greaterThan">
      <formula>0.2</formula>
    </cfRule>
    <cfRule type="cellIs" dxfId="56" priority="2" operator="greaterThan">
      <formula>0.1</formula>
    </cfRule>
    <cfRule type="cellIs" dxfId="55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"/>
  <sheetViews>
    <sheetView zoomScale="55" zoomScaleNormal="55" workbookViewId="0">
      <selection sqref="A1:XFD1048576"/>
    </sheetView>
  </sheetViews>
  <sheetFormatPr defaultRowHeight="15" x14ac:dyDescent="0.25"/>
  <cols>
    <col min="1" max="1" width="8.5703125" bestFit="1" customWidth="1"/>
    <col min="2" max="2" width="27.7109375" customWidth="1"/>
    <col min="3" max="3" width="30" customWidth="1"/>
    <col min="4" max="4" width="43" customWidth="1"/>
    <col min="5" max="5" width="42.42578125" customWidth="1"/>
    <col min="7" max="7" width="19.5703125" bestFit="1" customWidth="1"/>
  </cols>
  <sheetData>
    <row r="1" spans="1:16" x14ac:dyDescent="0.25">
      <c r="A1" s="17" t="s">
        <v>0</v>
      </c>
      <c r="B1" s="18" t="s">
        <v>1</v>
      </c>
      <c r="C1" s="18" t="s">
        <v>2</v>
      </c>
      <c r="D1" s="18" t="s">
        <v>3</v>
      </c>
      <c r="E1" s="6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354</v>
      </c>
      <c r="B2" t="s">
        <v>357</v>
      </c>
      <c r="C2" t="s">
        <v>76</v>
      </c>
      <c r="D2" t="s">
        <v>356</v>
      </c>
      <c r="E2" t="s">
        <v>117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353</v>
      </c>
      <c r="B3" t="s">
        <v>355</v>
      </c>
      <c r="C3" t="s">
        <v>76</v>
      </c>
      <c r="D3" t="s">
        <v>356</v>
      </c>
      <c r="E3" t="s">
        <v>117</v>
      </c>
    </row>
    <row r="4" spans="1:16" x14ac:dyDescent="0.25">
      <c r="A4" t="s">
        <v>21</v>
      </c>
      <c r="B4" t="s">
        <v>22</v>
      </c>
      <c r="C4" t="s">
        <v>23</v>
      </c>
      <c r="D4" t="s">
        <v>161</v>
      </c>
      <c r="E4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21</v>
      </c>
      <c r="B5" t="s">
        <v>22</v>
      </c>
      <c r="C5" t="s">
        <v>23</v>
      </c>
      <c r="D5" t="s">
        <v>358</v>
      </c>
      <c r="E5" t="s">
        <v>9</v>
      </c>
      <c r="G5" s="101"/>
      <c r="H5" s="7">
        <v>0.1154</v>
      </c>
      <c r="I5" s="7">
        <v>0</v>
      </c>
      <c r="J5" s="7">
        <v>0</v>
      </c>
      <c r="K5" s="7">
        <v>0</v>
      </c>
      <c r="L5" s="7">
        <v>2.7777777777777801E-2</v>
      </c>
      <c r="M5" s="8">
        <v>0</v>
      </c>
    </row>
    <row r="6" spans="1:16" x14ac:dyDescent="0.25">
      <c r="A6" t="s">
        <v>32</v>
      </c>
      <c r="B6" t="s">
        <v>22</v>
      </c>
      <c r="C6" t="s">
        <v>31</v>
      </c>
      <c r="D6" t="s">
        <v>161</v>
      </c>
      <c r="E6" t="s">
        <v>9</v>
      </c>
      <c r="G6" s="100" t="s">
        <v>68</v>
      </c>
      <c r="H6" s="9" t="s">
        <v>64</v>
      </c>
      <c r="I6" s="9"/>
      <c r="J6" s="9"/>
      <c r="K6" s="9" t="s">
        <v>65</v>
      </c>
      <c r="L6" s="9"/>
      <c r="M6" s="10"/>
    </row>
    <row r="7" spans="1:16" ht="15.75" thickBot="1" x14ac:dyDescent="0.3">
      <c r="A7" t="s">
        <v>32</v>
      </c>
      <c r="B7" t="s">
        <v>22</v>
      </c>
      <c r="C7" t="s">
        <v>31</v>
      </c>
      <c r="D7" t="s">
        <v>358</v>
      </c>
      <c r="E7" t="s">
        <v>9</v>
      </c>
      <c r="G7" s="101"/>
      <c r="H7" s="102">
        <f>AVERAGE(H5:M5)</f>
        <v>2.3862962962962964E-2</v>
      </c>
      <c r="I7" s="102"/>
      <c r="J7" s="11"/>
      <c r="K7" s="103">
        <f>SUMPRODUCT(H2:M2,H5:M5)</f>
        <v>2.7778933333333339E-2</v>
      </c>
      <c r="L7" s="103"/>
      <c r="M7" s="12"/>
    </row>
    <row r="8" spans="1:16" x14ac:dyDescent="0.25">
      <c r="A8" t="s">
        <v>159</v>
      </c>
      <c r="B8" t="s">
        <v>160</v>
      </c>
      <c r="C8" t="s">
        <v>151</v>
      </c>
      <c r="D8" t="s">
        <v>161</v>
      </c>
      <c r="E8" t="s">
        <v>9</v>
      </c>
    </row>
    <row r="9" spans="1:16" x14ac:dyDescent="0.25">
      <c r="A9" t="s">
        <v>150</v>
      </c>
      <c r="B9" t="s">
        <v>22</v>
      </c>
      <c r="C9" t="s">
        <v>151</v>
      </c>
      <c r="D9" t="s">
        <v>358</v>
      </c>
      <c r="E9" t="s">
        <v>9</v>
      </c>
      <c r="K9" s="51">
        <v>0.1154</v>
      </c>
      <c r="L9">
        <v>0</v>
      </c>
    </row>
    <row r="10" spans="1:16" x14ac:dyDescent="0.25">
      <c r="K10" s="51">
        <v>0</v>
      </c>
      <c r="L10">
        <v>9.9959999999999997E-3</v>
      </c>
    </row>
    <row r="11" spans="1:16" x14ac:dyDescent="0.25">
      <c r="K11" s="51">
        <v>0</v>
      </c>
      <c r="L11">
        <v>0</v>
      </c>
    </row>
    <row r="12" spans="1:16" x14ac:dyDescent="0.25">
      <c r="K12" s="51">
        <v>0</v>
      </c>
      <c r="L12">
        <v>0.28699999999999998</v>
      </c>
    </row>
    <row r="13" spans="1:16" x14ac:dyDescent="0.25">
      <c r="K13" s="51">
        <v>2.7777777777777801E-2</v>
      </c>
      <c r="L13">
        <v>6.0185185185185203E-2</v>
      </c>
    </row>
    <row r="14" spans="1:16" x14ac:dyDescent="0.25">
      <c r="K14" s="51">
        <v>0</v>
      </c>
      <c r="L14">
        <v>0</v>
      </c>
    </row>
    <row r="16" spans="1:16" x14ac:dyDescent="0.25">
      <c r="K16" s="51">
        <v>0.1154</v>
      </c>
      <c r="L16" s="51">
        <v>0</v>
      </c>
      <c r="M16" s="51">
        <v>0</v>
      </c>
      <c r="N16" s="51">
        <v>0</v>
      </c>
      <c r="O16" s="51">
        <v>2.7777777777777801E-2</v>
      </c>
      <c r="P16" s="51">
        <v>0</v>
      </c>
    </row>
  </sheetData>
  <mergeCells count="5">
    <mergeCell ref="G1:G2"/>
    <mergeCell ref="G4:G5"/>
    <mergeCell ref="G6:G7"/>
    <mergeCell ref="H7:I7"/>
    <mergeCell ref="K7:L7"/>
  </mergeCells>
  <conditionalFormatting sqref="H5:M5">
    <cfRule type="cellIs" dxfId="53" priority="1" operator="greaterThan">
      <formula>0.2</formula>
    </cfRule>
    <cfRule type="cellIs" dxfId="52" priority="2" operator="greaterThan">
      <formula>0.1</formula>
    </cfRule>
    <cfRule type="cellIs" dxfId="51" priority="3" operator="greater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2"/>
  <sheetViews>
    <sheetView zoomScale="55" zoomScaleNormal="55" workbookViewId="0">
      <selection activeCell="E42" sqref="A1:XFD1048576"/>
    </sheetView>
  </sheetViews>
  <sheetFormatPr defaultRowHeight="15" x14ac:dyDescent="0.25"/>
  <cols>
    <col min="1" max="1" width="8.5703125" bestFit="1" customWidth="1"/>
    <col min="2" max="2" width="27.7109375" customWidth="1"/>
    <col min="3" max="3" width="30" customWidth="1"/>
    <col min="4" max="4" width="43" customWidth="1"/>
    <col min="5" max="5" width="42.42578125" customWidth="1"/>
    <col min="7" max="7" width="19.5703125" bestFit="1" customWidth="1"/>
  </cols>
  <sheetData>
    <row r="1" spans="1:16" x14ac:dyDescent="0.25">
      <c r="A1" s="17" t="s">
        <v>0</v>
      </c>
      <c r="B1" s="18" t="s">
        <v>1</v>
      </c>
      <c r="C1" s="18" t="s">
        <v>2</v>
      </c>
      <c r="D1" s="18" t="s">
        <v>3</v>
      </c>
      <c r="E1" s="6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14</v>
      </c>
      <c r="B2" t="s">
        <v>15</v>
      </c>
      <c r="C2" t="s">
        <v>16</v>
      </c>
      <c r="D2" t="s">
        <v>697</v>
      </c>
      <c r="E2" t="s">
        <v>13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14</v>
      </c>
      <c r="B3" t="s">
        <v>15</v>
      </c>
      <c r="C3" t="s">
        <v>16</v>
      </c>
      <c r="D3" t="s">
        <v>701</v>
      </c>
      <c r="E3" t="s">
        <v>214</v>
      </c>
    </row>
    <row r="4" spans="1:16" x14ac:dyDescent="0.25">
      <c r="A4" t="s">
        <v>14</v>
      </c>
      <c r="B4" t="s">
        <v>15</v>
      </c>
      <c r="C4" t="s">
        <v>16</v>
      </c>
      <c r="D4" t="s">
        <v>707</v>
      </c>
      <c r="E4" t="s">
        <v>13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14</v>
      </c>
      <c r="B5" t="s">
        <v>15</v>
      </c>
      <c r="C5" t="s">
        <v>16</v>
      </c>
      <c r="D5" t="s">
        <v>705</v>
      </c>
      <c r="E5" t="s">
        <v>214</v>
      </c>
      <c r="G5" s="101"/>
      <c r="H5" s="7">
        <v>0</v>
      </c>
      <c r="I5" s="7">
        <v>7.8408333333333302E-2</v>
      </c>
      <c r="J5" s="7">
        <v>0</v>
      </c>
      <c r="K5" s="7">
        <v>0.2019</v>
      </c>
      <c r="L5" s="7">
        <v>0</v>
      </c>
      <c r="M5" s="8">
        <v>5.2740000000000002E-2</v>
      </c>
    </row>
    <row r="6" spans="1:16" x14ac:dyDescent="0.25">
      <c r="A6" t="s">
        <v>14</v>
      </c>
      <c r="B6" t="s">
        <v>15</v>
      </c>
      <c r="C6" t="s">
        <v>16</v>
      </c>
      <c r="D6" t="s">
        <v>708</v>
      </c>
      <c r="E6" t="s">
        <v>13</v>
      </c>
      <c r="G6" s="100" t="s">
        <v>68</v>
      </c>
      <c r="H6" s="9" t="s">
        <v>64</v>
      </c>
      <c r="I6" s="9"/>
      <c r="J6" s="9"/>
      <c r="K6" s="9" t="s">
        <v>65</v>
      </c>
      <c r="L6" s="9"/>
      <c r="M6" s="10"/>
    </row>
    <row r="7" spans="1:16" ht="15.75" thickBot="1" x14ac:dyDescent="0.3">
      <c r="A7" t="s">
        <v>14</v>
      </c>
      <c r="B7" t="s">
        <v>15</v>
      </c>
      <c r="C7" t="s">
        <v>16</v>
      </c>
      <c r="D7" t="s">
        <v>706</v>
      </c>
      <c r="E7" t="s">
        <v>213</v>
      </c>
      <c r="G7" s="101"/>
      <c r="H7" s="102">
        <f>AVERAGE(H5:M5)</f>
        <v>5.5508055555555547E-2</v>
      </c>
      <c r="I7" s="102"/>
      <c r="J7" s="11"/>
      <c r="K7" s="103">
        <f>SUMPRODUCT(H2:M2,H5:M5)</f>
        <v>5.3291696666666659E-2</v>
      </c>
      <c r="L7" s="103"/>
      <c r="M7" s="12"/>
    </row>
    <row r="8" spans="1:16" x14ac:dyDescent="0.25">
      <c r="A8" t="s">
        <v>354</v>
      </c>
      <c r="B8" t="s">
        <v>357</v>
      </c>
      <c r="C8" t="s">
        <v>76</v>
      </c>
      <c r="D8" t="s">
        <v>705</v>
      </c>
      <c r="E8" t="s">
        <v>9</v>
      </c>
    </row>
    <row r="9" spans="1:16" x14ac:dyDescent="0.25">
      <c r="A9" t="s">
        <v>354</v>
      </c>
      <c r="B9" t="s">
        <v>357</v>
      </c>
      <c r="C9" t="s">
        <v>76</v>
      </c>
      <c r="D9" t="s">
        <v>706</v>
      </c>
      <c r="E9" t="s">
        <v>9</v>
      </c>
      <c r="K9" s="51">
        <v>0</v>
      </c>
      <c r="L9">
        <v>0</v>
      </c>
    </row>
    <row r="10" spans="1:16" x14ac:dyDescent="0.25">
      <c r="A10" t="s">
        <v>353</v>
      </c>
      <c r="B10" t="s">
        <v>355</v>
      </c>
      <c r="C10" t="s">
        <v>76</v>
      </c>
      <c r="D10" t="s">
        <v>705</v>
      </c>
      <c r="E10" t="s">
        <v>9</v>
      </c>
      <c r="K10" s="51">
        <v>7.8408333333333302E-2</v>
      </c>
      <c r="L10">
        <v>9.9959999999999997E-3</v>
      </c>
    </row>
    <row r="11" spans="1:16" x14ac:dyDescent="0.25">
      <c r="A11" t="s">
        <v>353</v>
      </c>
      <c r="B11" t="s">
        <v>355</v>
      </c>
      <c r="C11" t="s">
        <v>76</v>
      </c>
      <c r="D11" t="s">
        <v>706</v>
      </c>
      <c r="E11" t="s">
        <v>9</v>
      </c>
      <c r="K11" s="51">
        <v>0</v>
      </c>
      <c r="L11">
        <v>0</v>
      </c>
    </row>
    <row r="12" spans="1:16" x14ac:dyDescent="0.25">
      <c r="A12" t="s">
        <v>156</v>
      </c>
      <c r="B12" t="s">
        <v>155</v>
      </c>
      <c r="C12" t="s">
        <v>56</v>
      </c>
      <c r="D12" t="s">
        <v>697</v>
      </c>
      <c r="E12" t="s">
        <v>122</v>
      </c>
      <c r="K12" s="51">
        <v>0.2019</v>
      </c>
      <c r="L12">
        <v>0.28699999999999998</v>
      </c>
    </row>
    <row r="13" spans="1:16" x14ac:dyDescent="0.25">
      <c r="A13" t="s">
        <v>154</v>
      </c>
      <c r="B13" t="s">
        <v>155</v>
      </c>
      <c r="C13" t="s">
        <v>38</v>
      </c>
      <c r="D13" t="s">
        <v>697</v>
      </c>
      <c r="E13" t="s">
        <v>122</v>
      </c>
      <c r="K13" s="51">
        <v>0</v>
      </c>
      <c r="L13">
        <v>6.0185185185185203E-2</v>
      </c>
    </row>
    <row r="14" spans="1:16" x14ac:dyDescent="0.25">
      <c r="A14" t="s">
        <v>135</v>
      </c>
      <c r="B14" t="s">
        <v>136</v>
      </c>
      <c r="C14" t="s">
        <v>137</v>
      </c>
      <c r="D14" t="s">
        <v>700</v>
      </c>
      <c r="E14" t="s">
        <v>284</v>
      </c>
      <c r="K14" s="51">
        <v>5.2740000000000002E-2</v>
      </c>
      <c r="L14">
        <v>0</v>
      </c>
    </row>
    <row r="15" spans="1:16" x14ac:dyDescent="0.25">
      <c r="A15" t="s">
        <v>135</v>
      </c>
      <c r="B15" t="s">
        <v>136</v>
      </c>
      <c r="C15" t="s">
        <v>137</v>
      </c>
      <c r="D15" t="s">
        <v>701</v>
      </c>
      <c r="E15" t="s">
        <v>261</v>
      </c>
    </row>
    <row r="16" spans="1:16" x14ac:dyDescent="0.25">
      <c r="A16" t="s">
        <v>135</v>
      </c>
      <c r="B16" t="s">
        <v>136</v>
      </c>
      <c r="C16" t="s">
        <v>137</v>
      </c>
      <c r="D16" t="s">
        <v>702</v>
      </c>
      <c r="E16" t="s">
        <v>271</v>
      </c>
      <c r="K16" s="51">
        <v>0</v>
      </c>
      <c r="L16" s="51">
        <v>7.8408333333333302E-2</v>
      </c>
      <c r="M16" s="51">
        <v>0</v>
      </c>
      <c r="N16" s="51">
        <v>0.2019</v>
      </c>
      <c r="O16" s="51">
        <v>0</v>
      </c>
      <c r="P16" s="51">
        <v>5.2740000000000002E-2</v>
      </c>
    </row>
    <row r="17" spans="1:5" x14ac:dyDescent="0.25">
      <c r="A17" t="s">
        <v>698</v>
      </c>
      <c r="B17" t="s">
        <v>699</v>
      </c>
      <c r="C17" t="s">
        <v>137</v>
      </c>
      <c r="D17" t="s">
        <v>700</v>
      </c>
      <c r="E17" t="s">
        <v>373</v>
      </c>
    </row>
    <row r="18" spans="1:5" x14ac:dyDescent="0.25">
      <c r="A18" t="s">
        <v>698</v>
      </c>
      <c r="B18" t="s">
        <v>699</v>
      </c>
      <c r="C18" t="s">
        <v>137</v>
      </c>
      <c r="D18" t="s">
        <v>701</v>
      </c>
      <c r="E18" t="s">
        <v>261</v>
      </c>
    </row>
    <row r="19" spans="1:5" x14ac:dyDescent="0.25">
      <c r="A19" t="s">
        <v>698</v>
      </c>
      <c r="B19" t="s">
        <v>699</v>
      </c>
      <c r="C19" t="s">
        <v>137</v>
      </c>
      <c r="D19" t="s">
        <v>702</v>
      </c>
      <c r="E19" t="s">
        <v>237</v>
      </c>
    </row>
    <row r="20" spans="1:5" x14ac:dyDescent="0.25">
      <c r="A20" t="s">
        <v>232</v>
      </c>
      <c r="B20" t="s">
        <v>233</v>
      </c>
      <c r="C20" t="s">
        <v>89</v>
      </c>
      <c r="D20" t="s">
        <v>701</v>
      </c>
      <c r="E20" t="s">
        <v>246</v>
      </c>
    </row>
    <row r="21" spans="1:5" x14ac:dyDescent="0.25">
      <c r="A21" t="s">
        <v>242</v>
      </c>
      <c r="B21" t="s">
        <v>243</v>
      </c>
      <c r="C21" t="s">
        <v>244</v>
      </c>
      <c r="D21" t="s">
        <v>697</v>
      </c>
      <c r="E21" t="s">
        <v>9</v>
      </c>
    </row>
    <row r="22" spans="1:5" x14ac:dyDescent="0.25">
      <c r="A22" t="s">
        <v>242</v>
      </c>
      <c r="B22" t="s">
        <v>243</v>
      </c>
      <c r="C22" t="s">
        <v>244</v>
      </c>
      <c r="D22" t="s">
        <v>704</v>
      </c>
      <c r="E22" t="s">
        <v>9</v>
      </c>
    </row>
    <row r="23" spans="1:5" x14ac:dyDescent="0.25">
      <c r="A23" t="s">
        <v>242</v>
      </c>
      <c r="B23" t="s">
        <v>243</v>
      </c>
      <c r="C23" t="s">
        <v>244</v>
      </c>
      <c r="D23" t="s">
        <v>703</v>
      </c>
      <c r="E23" t="s">
        <v>9</v>
      </c>
    </row>
    <row r="24" spans="1:5" x14ac:dyDescent="0.25">
      <c r="A24" t="s">
        <v>250</v>
      </c>
      <c r="B24" t="s">
        <v>251</v>
      </c>
      <c r="C24" t="s">
        <v>244</v>
      </c>
      <c r="D24" t="s">
        <v>697</v>
      </c>
      <c r="E24" t="s">
        <v>9</v>
      </c>
    </row>
    <row r="25" spans="1:5" x14ac:dyDescent="0.25">
      <c r="A25" t="s">
        <v>250</v>
      </c>
      <c r="B25" t="s">
        <v>251</v>
      </c>
      <c r="C25" t="s">
        <v>244</v>
      </c>
      <c r="D25" t="s">
        <v>703</v>
      </c>
      <c r="E25" t="s">
        <v>9</v>
      </c>
    </row>
    <row r="26" spans="1:5" x14ac:dyDescent="0.25">
      <c r="A26" t="s">
        <v>250</v>
      </c>
      <c r="B26" t="s">
        <v>251</v>
      </c>
      <c r="C26" t="s">
        <v>244</v>
      </c>
      <c r="D26" t="s">
        <v>704</v>
      </c>
      <c r="E26" t="s">
        <v>9</v>
      </c>
    </row>
    <row r="27" spans="1:5" x14ac:dyDescent="0.25">
      <c r="A27" t="s">
        <v>252</v>
      </c>
      <c r="B27" t="s">
        <v>253</v>
      </c>
      <c r="C27" t="s">
        <v>244</v>
      </c>
      <c r="D27" t="s">
        <v>697</v>
      </c>
      <c r="E27" t="s">
        <v>9</v>
      </c>
    </row>
    <row r="28" spans="1:5" x14ac:dyDescent="0.25">
      <c r="A28" t="s">
        <v>252</v>
      </c>
      <c r="B28" t="s">
        <v>253</v>
      </c>
      <c r="C28" t="s">
        <v>244</v>
      </c>
      <c r="D28" t="s">
        <v>703</v>
      </c>
      <c r="E28" t="s">
        <v>9</v>
      </c>
    </row>
    <row r="29" spans="1:5" x14ac:dyDescent="0.25">
      <c r="A29" t="s">
        <v>252</v>
      </c>
      <c r="B29" t="s">
        <v>253</v>
      </c>
      <c r="C29" t="s">
        <v>244</v>
      </c>
      <c r="D29" t="s">
        <v>704</v>
      </c>
      <c r="E29" t="s">
        <v>9</v>
      </c>
    </row>
    <row r="30" spans="1:5" x14ac:dyDescent="0.25">
      <c r="A30" t="s">
        <v>254</v>
      </c>
      <c r="B30" t="s">
        <v>255</v>
      </c>
      <c r="C30" t="s">
        <v>244</v>
      </c>
      <c r="D30" t="s">
        <v>697</v>
      </c>
      <c r="E30" t="s">
        <v>9</v>
      </c>
    </row>
    <row r="31" spans="1:5" x14ac:dyDescent="0.25">
      <c r="A31" t="s">
        <v>254</v>
      </c>
      <c r="B31" t="s">
        <v>255</v>
      </c>
      <c r="C31" t="s">
        <v>244</v>
      </c>
      <c r="D31" t="s">
        <v>703</v>
      </c>
      <c r="E31" t="s">
        <v>9</v>
      </c>
    </row>
    <row r="32" spans="1:5" x14ac:dyDescent="0.25">
      <c r="A32" t="s">
        <v>254</v>
      </c>
      <c r="B32" t="s">
        <v>255</v>
      </c>
      <c r="C32" t="s">
        <v>244</v>
      </c>
      <c r="D32" t="s">
        <v>704</v>
      </c>
      <c r="E32" t="s">
        <v>9</v>
      </c>
    </row>
  </sheetData>
  <sortState ref="A2:E32">
    <sortCondition ref="A2:A32"/>
  </sortState>
  <mergeCells count="5">
    <mergeCell ref="G1:G2"/>
    <mergeCell ref="G4:G5"/>
    <mergeCell ref="G6:G7"/>
    <mergeCell ref="H7:I7"/>
    <mergeCell ref="K7:L7"/>
  </mergeCells>
  <conditionalFormatting sqref="H5:M5">
    <cfRule type="cellIs" dxfId="50" priority="1" operator="greaterThan">
      <formula>0.2</formula>
    </cfRule>
    <cfRule type="cellIs" dxfId="49" priority="2" operator="greaterThan">
      <formula>0.1</formula>
    </cfRule>
    <cfRule type="cellIs" dxfId="48" priority="3" operator="greater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41"/>
  <sheetViews>
    <sheetView zoomScale="70" zoomScaleNormal="70" workbookViewId="0">
      <selection activeCell="M18" sqref="G1:M18"/>
    </sheetView>
  </sheetViews>
  <sheetFormatPr defaultColWidth="35" defaultRowHeight="15" x14ac:dyDescent="0.25"/>
  <cols>
    <col min="1" max="1" width="9.28515625" style="86" bestFit="1" customWidth="1"/>
    <col min="2" max="2" width="38.85546875" style="86" customWidth="1"/>
    <col min="3" max="3" width="21.85546875" style="86" customWidth="1"/>
    <col min="4" max="4" width="26.5703125" style="86" customWidth="1"/>
    <col min="5" max="5" width="38.42578125" style="86" customWidth="1"/>
    <col min="6" max="6" width="11.85546875" customWidth="1"/>
    <col min="7" max="7" width="19.42578125" bestFit="1" customWidth="1"/>
    <col min="8" max="8" width="20.85546875" bestFit="1" customWidth="1"/>
    <col min="9" max="9" width="8.7109375" bestFit="1" customWidth="1"/>
    <col min="10" max="10" width="8.140625" bestFit="1" customWidth="1"/>
    <col min="11" max="11" width="18.85546875" bestFit="1" customWidth="1"/>
    <col min="12" max="12" width="8.140625" bestFit="1" customWidth="1"/>
    <col min="13" max="13" width="12.140625" bestFit="1" customWidth="1"/>
  </cols>
  <sheetData>
    <row r="1" spans="1:16" x14ac:dyDescent="0.25">
      <c r="A1" s="83" t="s">
        <v>0</v>
      </c>
      <c r="B1" s="84" t="s">
        <v>1</v>
      </c>
      <c r="C1" s="84" t="s">
        <v>2</v>
      </c>
      <c r="D1" s="84" t="s">
        <v>3</v>
      </c>
      <c r="E1" s="85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s="86" t="s">
        <v>166</v>
      </c>
      <c r="B2" s="86" t="s">
        <v>164</v>
      </c>
      <c r="C2" s="86" t="s">
        <v>7</v>
      </c>
      <c r="D2" s="86" t="s">
        <v>452</v>
      </c>
      <c r="E2" s="86" t="s">
        <v>498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s="86" t="s">
        <v>142</v>
      </c>
      <c r="B3" s="86" t="s">
        <v>143</v>
      </c>
      <c r="C3" s="86" t="s">
        <v>7</v>
      </c>
      <c r="D3" s="86" t="s">
        <v>452</v>
      </c>
      <c r="E3" s="86" t="s">
        <v>9</v>
      </c>
    </row>
    <row r="4" spans="1:16" ht="26.25" x14ac:dyDescent="0.25">
      <c r="A4" s="86" t="s">
        <v>142</v>
      </c>
      <c r="B4" s="86" t="s">
        <v>143</v>
      </c>
      <c r="C4" s="86" t="s">
        <v>7</v>
      </c>
      <c r="D4" s="86" t="s">
        <v>467</v>
      </c>
      <c r="E4" s="86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39.75" thickBot="1" x14ac:dyDescent="0.3">
      <c r="A5" s="86" t="s">
        <v>182</v>
      </c>
      <c r="B5" s="86" t="s">
        <v>369</v>
      </c>
      <c r="C5" s="86" t="s">
        <v>16</v>
      </c>
      <c r="D5" s="86" t="s">
        <v>452</v>
      </c>
      <c r="E5" s="86" t="s">
        <v>13</v>
      </c>
      <c r="G5" s="101"/>
      <c r="H5" s="7">
        <v>0.16480707142857101</v>
      </c>
      <c r="I5" s="7">
        <v>0.10294375</v>
      </c>
      <c r="J5" s="7">
        <v>0.14799999999999999</v>
      </c>
      <c r="K5" s="7">
        <v>0</v>
      </c>
      <c r="L5" s="7">
        <v>0.27718749999999998</v>
      </c>
      <c r="M5" s="8">
        <v>0</v>
      </c>
    </row>
    <row r="6" spans="1:16" ht="39.75" thickBot="1" x14ac:dyDescent="0.3">
      <c r="A6" s="86" t="s">
        <v>182</v>
      </c>
      <c r="B6" s="86" t="s">
        <v>369</v>
      </c>
      <c r="C6" s="86" t="s">
        <v>16</v>
      </c>
      <c r="D6" s="86" t="s">
        <v>481</v>
      </c>
      <c r="E6" s="86" t="s">
        <v>214</v>
      </c>
    </row>
    <row r="7" spans="1:16" ht="39" x14ac:dyDescent="0.25">
      <c r="A7" s="86" t="s">
        <v>182</v>
      </c>
      <c r="B7" s="86" t="s">
        <v>369</v>
      </c>
      <c r="C7" s="86" t="s">
        <v>16</v>
      </c>
      <c r="D7" s="86" t="s">
        <v>496</v>
      </c>
      <c r="E7" s="86" t="s">
        <v>212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27" thickBot="1" x14ac:dyDescent="0.3">
      <c r="A8" s="86" t="s">
        <v>207</v>
      </c>
      <c r="B8" s="86" t="s">
        <v>372</v>
      </c>
      <c r="C8" s="86" t="s">
        <v>16</v>
      </c>
      <c r="D8" s="86" t="s">
        <v>452</v>
      </c>
      <c r="E8" s="86" t="s">
        <v>13</v>
      </c>
      <c r="G8" s="101"/>
      <c r="H8" s="102">
        <f>AVERAGE(H5:M5)</f>
        <v>0.11548972023809516</v>
      </c>
      <c r="I8" s="102"/>
      <c r="J8" s="11"/>
      <c r="K8" s="102">
        <f>SUMPRODUCT(H2:M2,H5:M5)</f>
        <v>0.11773093828571418</v>
      </c>
      <c r="L8" s="102"/>
      <c r="M8" s="12"/>
    </row>
    <row r="9" spans="1:16" ht="26.25" x14ac:dyDescent="0.25">
      <c r="A9" s="86" t="s">
        <v>207</v>
      </c>
      <c r="B9" s="86" t="s">
        <v>372</v>
      </c>
      <c r="C9" s="86" t="s">
        <v>16</v>
      </c>
      <c r="D9" s="86" t="s">
        <v>481</v>
      </c>
      <c r="E9" s="86" t="s">
        <v>213</v>
      </c>
    </row>
    <row r="10" spans="1:16" ht="39" x14ac:dyDescent="0.25">
      <c r="A10" s="86" t="s">
        <v>207</v>
      </c>
      <c r="B10" s="86" t="s">
        <v>372</v>
      </c>
      <c r="C10" s="86" t="s">
        <v>16</v>
      </c>
      <c r="D10" s="86" t="s">
        <v>496</v>
      </c>
      <c r="E10" s="86" t="s">
        <v>212</v>
      </c>
    </row>
    <row r="11" spans="1:16" x14ac:dyDescent="0.25">
      <c r="A11" s="86" t="s">
        <v>218</v>
      </c>
      <c r="B11" s="86" t="s">
        <v>219</v>
      </c>
      <c r="C11" s="86" t="s">
        <v>220</v>
      </c>
      <c r="D11" s="86" t="s">
        <v>450</v>
      </c>
      <c r="E11" s="86" t="s">
        <v>9</v>
      </c>
      <c r="J11">
        <v>0.16480707142857101</v>
      </c>
      <c r="K11">
        <v>0.16480707142857101</v>
      </c>
      <c r="L11">
        <v>0.10294375</v>
      </c>
      <c r="M11">
        <v>0.14799999999999999</v>
      </c>
      <c r="N11">
        <v>0</v>
      </c>
      <c r="O11">
        <v>0.27718749999999998</v>
      </c>
      <c r="P11">
        <v>0</v>
      </c>
    </row>
    <row r="12" spans="1:16" ht="26.25" x14ac:dyDescent="0.25">
      <c r="A12" s="86" t="s">
        <v>218</v>
      </c>
      <c r="B12" s="86" t="s">
        <v>219</v>
      </c>
      <c r="C12" s="86" t="s">
        <v>220</v>
      </c>
      <c r="D12" s="86" t="s">
        <v>451</v>
      </c>
      <c r="E12" s="86" t="s">
        <v>9</v>
      </c>
      <c r="J12">
        <v>0.10294375</v>
      </c>
    </row>
    <row r="13" spans="1:16" ht="26.25" x14ac:dyDescent="0.25">
      <c r="A13" s="86" t="s">
        <v>218</v>
      </c>
      <c r="B13" s="86" t="s">
        <v>219</v>
      </c>
      <c r="C13" s="86" t="s">
        <v>220</v>
      </c>
      <c r="D13" s="86" t="s">
        <v>461</v>
      </c>
      <c r="E13" s="86" t="s">
        <v>9</v>
      </c>
      <c r="J13">
        <v>0.14799999999999999</v>
      </c>
    </row>
    <row r="14" spans="1:16" ht="39" x14ac:dyDescent="0.25">
      <c r="A14" s="86" t="s">
        <v>218</v>
      </c>
      <c r="B14" s="86" t="s">
        <v>219</v>
      </c>
      <c r="C14" s="86" t="s">
        <v>220</v>
      </c>
      <c r="D14" s="86" t="s">
        <v>462</v>
      </c>
      <c r="E14" s="86" t="s">
        <v>9</v>
      </c>
      <c r="J14">
        <v>0</v>
      </c>
    </row>
    <row r="15" spans="1:16" ht="51.75" x14ac:dyDescent="0.25">
      <c r="A15" s="86" t="s">
        <v>218</v>
      </c>
      <c r="B15" s="86" t="s">
        <v>219</v>
      </c>
      <c r="C15" s="86" t="s">
        <v>220</v>
      </c>
      <c r="D15" s="86" t="s">
        <v>460</v>
      </c>
      <c r="E15" s="86" t="s">
        <v>9</v>
      </c>
      <c r="J15">
        <v>0.27718749999999998</v>
      </c>
    </row>
    <row r="16" spans="1:16" ht="26.25" x14ac:dyDescent="0.25">
      <c r="A16" s="86" t="s">
        <v>218</v>
      </c>
      <c r="B16" s="86" t="s">
        <v>219</v>
      </c>
      <c r="C16" s="86" t="s">
        <v>220</v>
      </c>
      <c r="D16" s="86" t="s">
        <v>458</v>
      </c>
      <c r="E16" s="86" t="s">
        <v>9</v>
      </c>
      <c r="J16">
        <v>0</v>
      </c>
    </row>
    <row r="17" spans="1:5" ht="39" x14ac:dyDescent="0.25">
      <c r="A17" s="86" t="s">
        <v>218</v>
      </c>
      <c r="B17" s="86" t="s">
        <v>219</v>
      </c>
      <c r="C17" s="86" t="s">
        <v>220</v>
      </c>
      <c r="D17" s="86" t="s">
        <v>459</v>
      </c>
      <c r="E17" s="86" t="s">
        <v>9</v>
      </c>
    </row>
    <row r="18" spans="1:5" ht="39" x14ac:dyDescent="0.25">
      <c r="A18" s="86" t="s">
        <v>260</v>
      </c>
      <c r="B18" s="86" t="s">
        <v>369</v>
      </c>
      <c r="C18" s="86" t="s">
        <v>257</v>
      </c>
      <c r="D18" s="86" t="s">
        <v>452</v>
      </c>
      <c r="E18" s="86" t="s">
        <v>495</v>
      </c>
    </row>
    <row r="19" spans="1:5" ht="39" x14ac:dyDescent="0.25">
      <c r="A19" s="86" t="s">
        <v>260</v>
      </c>
      <c r="B19" s="86" t="s">
        <v>369</v>
      </c>
      <c r="C19" s="86" t="s">
        <v>257</v>
      </c>
      <c r="D19" s="86" t="s">
        <v>496</v>
      </c>
      <c r="E19" s="86" t="s">
        <v>122</v>
      </c>
    </row>
    <row r="20" spans="1:5" ht="39" x14ac:dyDescent="0.25">
      <c r="A20" s="86" t="s">
        <v>259</v>
      </c>
      <c r="B20" s="86" t="s">
        <v>372</v>
      </c>
      <c r="C20" s="86" t="s">
        <v>257</v>
      </c>
      <c r="D20" s="86" t="s">
        <v>452</v>
      </c>
      <c r="E20" s="86" t="s">
        <v>501</v>
      </c>
    </row>
    <row r="21" spans="1:5" ht="26.25" x14ac:dyDescent="0.25">
      <c r="A21" s="86" t="s">
        <v>259</v>
      </c>
      <c r="B21" s="86" t="s">
        <v>372</v>
      </c>
      <c r="C21" s="86" t="s">
        <v>257</v>
      </c>
      <c r="D21" s="86" t="s">
        <v>496</v>
      </c>
      <c r="E21" s="86" t="s">
        <v>122</v>
      </c>
    </row>
    <row r="22" spans="1:5" ht="39" x14ac:dyDescent="0.25">
      <c r="A22" s="86" t="s">
        <v>184</v>
      </c>
      <c r="B22" s="86" t="s">
        <v>369</v>
      </c>
      <c r="C22" s="86" t="s">
        <v>181</v>
      </c>
      <c r="D22" s="86" t="s">
        <v>452</v>
      </c>
      <c r="E22" s="86" t="s">
        <v>9</v>
      </c>
    </row>
    <row r="23" spans="1:5" ht="39" x14ac:dyDescent="0.25">
      <c r="A23" s="86" t="s">
        <v>184</v>
      </c>
      <c r="B23" s="86" t="s">
        <v>369</v>
      </c>
      <c r="C23" s="86" t="s">
        <v>181</v>
      </c>
      <c r="D23" s="86" t="s">
        <v>481</v>
      </c>
      <c r="E23" s="86" t="s">
        <v>9</v>
      </c>
    </row>
    <row r="24" spans="1:5" ht="26.25" x14ac:dyDescent="0.25">
      <c r="A24" s="86" t="s">
        <v>205</v>
      </c>
      <c r="B24" s="86" t="s">
        <v>372</v>
      </c>
      <c r="C24" s="86" t="s">
        <v>181</v>
      </c>
      <c r="D24" s="86" t="s">
        <v>452</v>
      </c>
      <c r="E24" s="86" t="s">
        <v>9</v>
      </c>
    </row>
    <row r="25" spans="1:5" ht="26.25" x14ac:dyDescent="0.25">
      <c r="A25" s="86" t="s">
        <v>205</v>
      </c>
      <c r="B25" s="86" t="s">
        <v>372</v>
      </c>
      <c r="C25" s="86" t="s">
        <v>181</v>
      </c>
      <c r="D25" s="86" t="s">
        <v>481</v>
      </c>
      <c r="E25" s="86" t="s">
        <v>9</v>
      </c>
    </row>
    <row r="26" spans="1:5" ht="39" x14ac:dyDescent="0.25">
      <c r="A26" s="86" t="s">
        <v>447</v>
      </c>
      <c r="B26" s="86" t="s">
        <v>291</v>
      </c>
      <c r="C26" s="86" t="s">
        <v>19</v>
      </c>
      <c r="D26" s="86" t="s">
        <v>442</v>
      </c>
      <c r="E26" s="86" t="s">
        <v>9</v>
      </c>
    </row>
    <row r="27" spans="1:5" ht="39" x14ac:dyDescent="0.25">
      <c r="A27" s="86" t="s">
        <v>447</v>
      </c>
      <c r="B27" s="86" t="s">
        <v>291</v>
      </c>
      <c r="C27" s="86" t="s">
        <v>19</v>
      </c>
      <c r="D27" s="86" t="s">
        <v>481</v>
      </c>
      <c r="E27" s="86" t="s">
        <v>9</v>
      </c>
    </row>
    <row r="28" spans="1:5" ht="39" x14ac:dyDescent="0.25">
      <c r="A28" s="86" t="s">
        <v>447</v>
      </c>
      <c r="B28" s="86" t="s">
        <v>291</v>
      </c>
      <c r="C28" s="86" t="s">
        <v>19</v>
      </c>
      <c r="D28" s="86" t="s">
        <v>490</v>
      </c>
      <c r="E28" s="86" t="s">
        <v>9</v>
      </c>
    </row>
    <row r="29" spans="1:5" ht="39" x14ac:dyDescent="0.25">
      <c r="A29" s="86" t="s">
        <v>447</v>
      </c>
      <c r="B29" s="86" t="s">
        <v>291</v>
      </c>
      <c r="C29" s="86" t="s">
        <v>19</v>
      </c>
      <c r="D29" s="86" t="s">
        <v>489</v>
      </c>
      <c r="E29" s="86" t="s">
        <v>9</v>
      </c>
    </row>
    <row r="30" spans="1:5" ht="39" x14ac:dyDescent="0.25">
      <c r="A30" s="86" t="s">
        <v>447</v>
      </c>
      <c r="B30" s="86" t="s">
        <v>291</v>
      </c>
      <c r="C30" s="86" t="s">
        <v>19</v>
      </c>
      <c r="D30" s="86" t="s">
        <v>466</v>
      </c>
      <c r="E30" s="86" t="s">
        <v>9</v>
      </c>
    </row>
    <row r="31" spans="1:5" ht="39" x14ac:dyDescent="0.25">
      <c r="A31" s="86" t="s">
        <v>447</v>
      </c>
      <c r="B31" s="86" t="s">
        <v>291</v>
      </c>
      <c r="C31" s="86" t="s">
        <v>19</v>
      </c>
      <c r="D31" s="86" t="s">
        <v>465</v>
      </c>
      <c r="E31" s="86" t="s">
        <v>9</v>
      </c>
    </row>
    <row r="32" spans="1:5" ht="39" x14ac:dyDescent="0.25">
      <c r="A32" s="86" t="s">
        <v>447</v>
      </c>
      <c r="B32" s="86" t="s">
        <v>291</v>
      </c>
      <c r="C32" s="86" t="s">
        <v>19</v>
      </c>
      <c r="D32" s="86" t="s">
        <v>469</v>
      </c>
      <c r="E32" s="86" t="s">
        <v>9</v>
      </c>
    </row>
    <row r="33" spans="1:5" ht="39" x14ac:dyDescent="0.25">
      <c r="A33" s="86" t="s">
        <v>447</v>
      </c>
      <c r="B33" s="86" t="s">
        <v>291</v>
      </c>
      <c r="C33" s="86" t="s">
        <v>19</v>
      </c>
      <c r="D33" s="86" t="s">
        <v>491</v>
      </c>
      <c r="E33" s="86" t="s">
        <v>9</v>
      </c>
    </row>
    <row r="34" spans="1:5" ht="39" x14ac:dyDescent="0.25">
      <c r="A34" s="86" t="s">
        <v>455</v>
      </c>
      <c r="B34" s="86" t="s">
        <v>143</v>
      </c>
      <c r="C34" s="86" t="s">
        <v>19</v>
      </c>
      <c r="D34" s="86" t="s">
        <v>452</v>
      </c>
      <c r="E34" s="86" t="s">
        <v>9</v>
      </c>
    </row>
    <row r="35" spans="1:5" ht="39" x14ac:dyDescent="0.25">
      <c r="A35" s="86" t="s">
        <v>455</v>
      </c>
      <c r="B35" s="86" t="s">
        <v>143</v>
      </c>
      <c r="C35" s="86" t="s">
        <v>19</v>
      </c>
      <c r="D35" s="86" t="s">
        <v>481</v>
      </c>
      <c r="E35" s="86" t="s">
        <v>9</v>
      </c>
    </row>
    <row r="36" spans="1:5" ht="39" x14ac:dyDescent="0.25">
      <c r="A36" s="86" t="s">
        <v>455</v>
      </c>
      <c r="B36" s="86" t="s">
        <v>143</v>
      </c>
      <c r="C36" s="86" t="s">
        <v>19</v>
      </c>
      <c r="D36" s="86" t="s">
        <v>467</v>
      </c>
      <c r="E36" s="86" t="s">
        <v>9</v>
      </c>
    </row>
    <row r="37" spans="1:5" ht="39" x14ac:dyDescent="0.25">
      <c r="A37" s="86" t="s">
        <v>457</v>
      </c>
      <c r="B37" s="86" t="s">
        <v>119</v>
      </c>
      <c r="C37" s="86" t="s">
        <v>19</v>
      </c>
      <c r="D37" s="86" t="s">
        <v>456</v>
      </c>
      <c r="E37" s="86" t="s">
        <v>165</v>
      </c>
    </row>
    <row r="38" spans="1:5" ht="39" x14ac:dyDescent="0.25">
      <c r="A38" s="86" t="s">
        <v>454</v>
      </c>
      <c r="B38" s="86" t="s">
        <v>164</v>
      </c>
      <c r="C38" s="86" t="s">
        <v>19</v>
      </c>
      <c r="D38" s="86" t="s">
        <v>452</v>
      </c>
      <c r="E38" s="86" t="s">
        <v>9</v>
      </c>
    </row>
    <row r="39" spans="1:5" ht="39" x14ac:dyDescent="0.25">
      <c r="A39" s="86" t="s">
        <v>454</v>
      </c>
      <c r="B39" s="86" t="s">
        <v>164</v>
      </c>
      <c r="C39" s="86" t="s">
        <v>19</v>
      </c>
      <c r="D39" s="86" t="s">
        <v>481</v>
      </c>
      <c r="E39" s="86" t="s">
        <v>9</v>
      </c>
    </row>
    <row r="40" spans="1:5" ht="39" x14ac:dyDescent="0.25">
      <c r="A40" s="86" t="s">
        <v>448</v>
      </c>
      <c r="B40" s="86" t="s">
        <v>449</v>
      </c>
      <c r="C40" s="86" t="s">
        <v>19</v>
      </c>
      <c r="D40" s="86" t="s">
        <v>442</v>
      </c>
      <c r="E40" s="86" t="s">
        <v>9</v>
      </c>
    </row>
    <row r="41" spans="1:5" ht="39" x14ac:dyDescent="0.25">
      <c r="A41" s="86" t="s">
        <v>440</v>
      </c>
      <c r="B41" s="86" t="s">
        <v>441</v>
      </c>
      <c r="C41" s="86" t="s">
        <v>19</v>
      </c>
      <c r="D41" s="86" t="s">
        <v>442</v>
      </c>
      <c r="E41" s="86" t="s">
        <v>9</v>
      </c>
    </row>
    <row r="42" spans="1:5" ht="39" x14ac:dyDescent="0.25">
      <c r="A42" s="86" t="s">
        <v>443</v>
      </c>
      <c r="B42" s="86" t="s">
        <v>444</v>
      </c>
      <c r="C42" s="86" t="s">
        <v>19</v>
      </c>
      <c r="D42" s="86" t="s">
        <v>442</v>
      </c>
      <c r="E42" s="86" t="s">
        <v>9</v>
      </c>
    </row>
    <row r="43" spans="1:5" ht="39" x14ac:dyDescent="0.25">
      <c r="A43" s="86" t="s">
        <v>478</v>
      </c>
      <c r="B43" s="86" t="s">
        <v>479</v>
      </c>
      <c r="C43" s="86" t="s">
        <v>19</v>
      </c>
      <c r="D43" s="86" t="s">
        <v>450</v>
      </c>
      <c r="E43" s="86" t="s">
        <v>480</v>
      </c>
    </row>
    <row r="44" spans="1:5" ht="39" x14ac:dyDescent="0.25">
      <c r="A44" s="86" t="s">
        <v>446</v>
      </c>
      <c r="B44" s="86" t="s">
        <v>219</v>
      </c>
      <c r="C44" s="86" t="s">
        <v>19</v>
      </c>
      <c r="D44" s="86" t="s">
        <v>442</v>
      </c>
      <c r="E44" s="86" t="s">
        <v>9</v>
      </c>
    </row>
    <row r="45" spans="1:5" ht="39" x14ac:dyDescent="0.25">
      <c r="A45" s="86" t="s">
        <v>446</v>
      </c>
      <c r="B45" s="86" t="s">
        <v>219</v>
      </c>
      <c r="C45" s="86" t="s">
        <v>19</v>
      </c>
      <c r="D45" s="86" t="s">
        <v>451</v>
      </c>
      <c r="E45" s="86" t="s">
        <v>9</v>
      </c>
    </row>
    <row r="46" spans="1:5" ht="39" x14ac:dyDescent="0.25">
      <c r="A46" s="86" t="s">
        <v>446</v>
      </c>
      <c r="B46" s="86" t="s">
        <v>219</v>
      </c>
      <c r="C46" s="86" t="s">
        <v>19</v>
      </c>
      <c r="D46" s="86" t="s">
        <v>461</v>
      </c>
      <c r="E46" s="86" t="s">
        <v>9</v>
      </c>
    </row>
    <row r="47" spans="1:5" ht="39" x14ac:dyDescent="0.25">
      <c r="A47" s="86" t="s">
        <v>446</v>
      </c>
      <c r="B47" s="86" t="s">
        <v>219</v>
      </c>
      <c r="C47" s="86" t="s">
        <v>19</v>
      </c>
      <c r="D47" s="86" t="s">
        <v>462</v>
      </c>
      <c r="E47" s="86" t="s">
        <v>9</v>
      </c>
    </row>
    <row r="48" spans="1:5" ht="51.75" x14ac:dyDescent="0.25">
      <c r="A48" s="86" t="s">
        <v>446</v>
      </c>
      <c r="B48" s="86" t="s">
        <v>219</v>
      </c>
      <c r="C48" s="86" t="s">
        <v>19</v>
      </c>
      <c r="D48" s="86" t="s">
        <v>460</v>
      </c>
      <c r="E48" s="86" t="s">
        <v>9</v>
      </c>
    </row>
    <row r="49" spans="1:5" ht="39" x14ac:dyDescent="0.25">
      <c r="A49" s="86" t="s">
        <v>446</v>
      </c>
      <c r="B49" s="86" t="s">
        <v>219</v>
      </c>
      <c r="C49" s="86" t="s">
        <v>19</v>
      </c>
      <c r="D49" s="86" t="s">
        <v>459</v>
      </c>
      <c r="E49" s="86" t="s">
        <v>9</v>
      </c>
    </row>
    <row r="50" spans="1:5" ht="39" x14ac:dyDescent="0.25">
      <c r="A50" s="86" t="s">
        <v>445</v>
      </c>
      <c r="B50" s="86" t="s">
        <v>371</v>
      </c>
      <c r="C50" s="86" t="s">
        <v>19</v>
      </c>
      <c r="D50" s="86" t="s">
        <v>442</v>
      </c>
      <c r="E50" s="86" t="s">
        <v>9</v>
      </c>
    </row>
    <row r="51" spans="1:5" ht="39" x14ac:dyDescent="0.25">
      <c r="A51" s="86" t="s">
        <v>445</v>
      </c>
      <c r="B51" s="86" t="s">
        <v>371</v>
      </c>
      <c r="C51" s="86" t="s">
        <v>19</v>
      </c>
      <c r="D51" s="86" t="s">
        <v>452</v>
      </c>
      <c r="E51" s="86" t="s">
        <v>9</v>
      </c>
    </row>
    <row r="52" spans="1:5" ht="39" x14ac:dyDescent="0.25">
      <c r="A52" s="86" t="s">
        <v>445</v>
      </c>
      <c r="B52" s="86" t="s">
        <v>371</v>
      </c>
      <c r="C52" s="86" t="s">
        <v>19</v>
      </c>
      <c r="D52" s="86" t="s">
        <v>481</v>
      </c>
      <c r="E52" s="86" t="s">
        <v>9</v>
      </c>
    </row>
    <row r="53" spans="1:5" ht="39" x14ac:dyDescent="0.25">
      <c r="A53" s="86" t="s">
        <v>445</v>
      </c>
      <c r="B53" s="86" t="s">
        <v>371</v>
      </c>
      <c r="C53" s="86" t="s">
        <v>19</v>
      </c>
      <c r="D53" s="86" t="s">
        <v>463</v>
      </c>
      <c r="E53" s="86" t="s">
        <v>9</v>
      </c>
    </row>
    <row r="54" spans="1:5" ht="39" x14ac:dyDescent="0.25">
      <c r="A54" s="86" t="s">
        <v>445</v>
      </c>
      <c r="B54" s="86" t="s">
        <v>371</v>
      </c>
      <c r="C54" s="86" t="s">
        <v>19</v>
      </c>
      <c r="D54" s="86" t="s">
        <v>490</v>
      </c>
      <c r="E54" s="86" t="s">
        <v>9</v>
      </c>
    </row>
    <row r="55" spans="1:5" ht="39" x14ac:dyDescent="0.25">
      <c r="A55" s="86" t="s">
        <v>445</v>
      </c>
      <c r="B55" s="86" t="s">
        <v>371</v>
      </c>
      <c r="C55" s="86" t="s">
        <v>19</v>
      </c>
      <c r="D55" s="86" t="s">
        <v>464</v>
      </c>
      <c r="E55" s="86" t="s">
        <v>9</v>
      </c>
    </row>
    <row r="56" spans="1:5" ht="39" x14ac:dyDescent="0.25">
      <c r="A56" s="86" t="s">
        <v>445</v>
      </c>
      <c r="B56" s="86" t="s">
        <v>371</v>
      </c>
      <c r="C56" s="86" t="s">
        <v>19</v>
      </c>
      <c r="D56" s="86" t="s">
        <v>489</v>
      </c>
      <c r="E56" s="86" t="s">
        <v>9</v>
      </c>
    </row>
    <row r="57" spans="1:5" ht="39" x14ac:dyDescent="0.25">
      <c r="A57" s="86" t="s">
        <v>453</v>
      </c>
      <c r="B57" s="86" t="s">
        <v>294</v>
      </c>
      <c r="C57" s="86" t="s">
        <v>19</v>
      </c>
      <c r="D57" s="86" t="s">
        <v>452</v>
      </c>
      <c r="E57" s="86" t="s">
        <v>9</v>
      </c>
    </row>
    <row r="58" spans="1:5" ht="39" x14ac:dyDescent="0.25">
      <c r="A58" s="86" t="s">
        <v>453</v>
      </c>
      <c r="B58" s="86" t="s">
        <v>294</v>
      </c>
      <c r="C58" s="86" t="s">
        <v>19</v>
      </c>
      <c r="D58" s="86" t="s">
        <v>481</v>
      </c>
      <c r="E58" s="86" t="s">
        <v>9</v>
      </c>
    </row>
    <row r="59" spans="1:5" ht="39" x14ac:dyDescent="0.25">
      <c r="A59" s="86" t="s">
        <v>287</v>
      </c>
      <c r="B59" s="86" t="s">
        <v>164</v>
      </c>
      <c r="C59" s="86" t="s">
        <v>288</v>
      </c>
      <c r="D59" s="86" t="s">
        <v>452</v>
      </c>
      <c r="E59" s="86" t="s">
        <v>9</v>
      </c>
    </row>
    <row r="60" spans="1:5" ht="39" x14ac:dyDescent="0.25">
      <c r="A60" s="86" t="s">
        <v>290</v>
      </c>
      <c r="B60" s="86" t="s">
        <v>291</v>
      </c>
      <c r="C60" s="86" t="s">
        <v>288</v>
      </c>
      <c r="D60" s="86" t="s">
        <v>452</v>
      </c>
      <c r="E60" s="86" t="s">
        <v>9</v>
      </c>
    </row>
    <row r="61" spans="1:5" ht="39" x14ac:dyDescent="0.25">
      <c r="A61" s="86" t="s">
        <v>290</v>
      </c>
      <c r="B61" s="86" t="s">
        <v>291</v>
      </c>
      <c r="C61" s="86" t="s">
        <v>288</v>
      </c>
      <c r="D61" s="86" t="s">
        <v>463</v>
      </c>
      <c r="E61" s="86" t="s">
        <v>9</v>
      </c>
    </row>
    <row r="62" spans="1:5" ht="39" x14ac:dyDescent="0.25">
      <c r="A62" s="86" t="s">
        <v>290</v>
      </c>
      <c r="B62" s="86" t="s">
        <v>291</v>
      </c>
      <c r="C62" s="86" t="s">
        <v>288</v>
      </c>
      <c r="D62" s="86" t="s">
        <v>464</v>
      </c>
      <c r="E62" s="86" t="s">
        <v>9</v>
      </c>
    </row>
    <row r="63" spans="1:5" ht="39" x14ac:dyDescent="0.25">
      <c r="A63" s="86" t="s">
        <v>290</v>
      </c>
      <c r="B63" s="86" t="s">
        <v>291</v>
      </c>
      <c r="C63" s="86" t="s">
        <v>288</v>
      </c>
      <c r="D63" s="86" t="s">
        <v>466</v>
      </c>
      <c r="E63" s="86" t="s">
        <v>9</v>
      </c>
    </row>
    <row r="64" spans="1:5" ht="39" x14ac:dyDescent="0.25">
      <c r="A64" s="86" t="s">
        <v>290</v>
      </c>
      <c r="B64" s="86" t="s">
        <v>291</v>
      </c>
      <c r="C64" s="86" t="s">
        <v>288</v>
      </c>
      <c r="D64" s="86" t="s">
        <v>465</v>
      </c>
      <c r="E64" s="86" t="s">
        <v>9</v>
      </c>
    </row>
    <row r="65" spans="1:5" ht="39" x14ac:dyDescent="0.25">
      <c r="A65" s="86" t="s">
        <v>290</v>
      </c>
      <c r="B65" s="86" t="s">
        <v>291</v>
      </c>
      <c r="C65" s="86" t="s">
        <v>288</v>
      </c>
      <c r="D65" s="86" t="s">
        <v>468</v>
      </c>
      <c r="E65" s="86" t="s">
        <v>9</v>
      </c>
    </row>
    <row r="66" spans="1:5" ht="39" x14ac:dyDescent="0.25">
      <c r="A66" s="86" t="s">
        <v>290</v>
      </c>
      <c r="B66" s="86" t="s">
        <v>291</v>
      </c>
      <c r="C66" s="86" t="s">
        <v>288</v>
      </c>
      <c r="D66" s="86" t="s">
        <v>467</v>
      </c>
      <c r="E66" s="86" t="s">
        <v>9</v>
      </c>
    </row>
    <row r="67" spans="1:5" ht="39" x14ac:dyDescent="0.25">
      <c r="A67" s="86" t="s">
        <v>474</v>
      </c>
      <c r="B67" s="86" t="s">
        <v>219</v>
      </c>
      <c r="C67" s="86" t="s">
        <v>288</v>
      </c>
      <c r="D67" s="86" t="s">
        <v>451</v>
      </c>
      <c r="E67" s="86" t="s">
        <v>9</v>
      </c>
    </row>
    <row r="68" spans="1:5" ht="39" x14ac:dyDescent="0.25">
      <c r="A68" s="86" t="s">
        <v>474</v>
      </c>
      <c r="B68" s="86" t="s">
        <v>219</v>
      </c>
      <c r="C68" s="86" t="s">
        <v>288</v>
      </c>
      <c r="D68" s="86" t="s">
        <v>461</v>
      </c>
      <c r="E68" s="86" t="s">
        <v>9</v>
      </c>
    </row>
    <row r="69" spans="1:5" ht="39" x14ac:dyDescent="0.25">
      <c r="A69" s="86" t="s">
        <v>474</v>
      </c>
      <c r="B69" s="86" t="s">
        <v>219</v>
      </c>
      <c r="C69" s="86" t="s">
        <v>288</v>
      </c>
      <c r="D69" s="86" t="s">
        <v>462</v>
      </c>
      <c r="E69" s="86" t="s">
        <v>9</v>
      </c>
    </row>
    <row r="70" spans="1:5" ht="51.75" x14ac:dyDescent="0.25">
      <c r="A70" s="86" t="s">
        <v>474</v>
      </c>
      <c r="B70" s="86" t="s">
        <v>219</v>
      </c>
      <c r="C70" s="86" t="s">
        <v>288</v>
      </c>
      <c r="D70" s="86" t="s">
        <v>460</v>
      </c>
      <c r="E70" s="86" t="s">
        <v>9</v>
      </c>
    </row>
    <row r="71" spans="1:5" ht="39" x14ac:dyDescent="0.25">
      <c r="A71" s="86" t="s">
        <v>474</v>
      </c>
      <c r="B71" s="86" t="s">
        <v>219</v>
      </c>
      <c r="C71" s="86" t="s">
        <v>288</v>
      </c>
      <c r="D71" s="86" t="s">
        <v>459</v>
      </c>
      <c r="E71" s="86" t="s">
        <v>9</v>
      </c>
    </row>
    <row r="72" spans="1:5" ht="39" x14ac:dyDescent="0.25">
      <c r="A72" s="86" t="s">
        <v>292</v>
      </c>
      <c r="B72" s="86" t="s">
        <v>371</v>
      </c>
      <c r="C72" s="86" t="s">
        <v>288</v>
      </c>
      <c r="D72" s="86" t="s">
        <v>452</v>
      </c>
      <c r="E72" s="86" t="s">
        <v>9</v>
      </c>
    </row>
    <row r="73" spans="1:5" ht="39" x14ac:dyDescent="0.25">
      <c r="A73" s="86" t="s">
        <v>292</v>
      </c>
      <c r="B73" s="86" t="s">
        <v>371</v>
      </c>
      <c r="C73" s="86" t="s">
        <v>288</v>
      </c>
      <c r="D73" s="86" t="s">
        <v>463</v>
      </c>
      <c r="E73" s="86" t="s">
        <v>9</v>
      </c>
    </row>
    <row r="74" spans="1:5" ht="39" x14ac:dyDescent="0.25">
      <c r="A74" s="86" t="s">
        <v>292</v>
      </c>
      <c r="B74" s="86" t="s">
        <v>371</v>
      </c>
      <c r="C74" s="86" t="s">
        <v>288</v>
      </c>
      <c r="D74" s="86" t="s">
        <v>464</v>
      </c>
      <c r="E74" s="86" t="s">
        <v>9</v>
      </c>
    </row>
    <row r="75" spans="1:5" ht="39" x14ac:dyDescent="0.25">
      <c r="A75" s="86" t="s">
        <v>293</v>
      </c>
      <c r="B75" s="86" t="s">
        <v>294</v>
      </c>
      <c r="C75" s="86" t="s">
        <v>288</v>
      </c>
      <c r="D75" s="86" t="s">
        <v>452</v>
      </c>
      <c r="E75" s="86" t="s">
        <v>9</v>
      </c>
    </row>
    <row r="76" spans="1:5" ht="39" x14ac:dyDescent="0.25">
      <c r="A76" s="86" t="s">
        <v>295</v>
      </c>
      <c r="B76" s="86" t="s">
        <v>296</v>
      </c>
      <c r="C76" s="86" t="s">
        <v>288</v>
      </c>
      <c r="D76" s="86" t="s">
        <v>452</v>
      </c>
      <c r="E76" s="86" t="s">
        <v>9</v>
      </c>
    </row>
    <row r="77" spans="1:5" ht="39" x14ac:dyDescent="0.25">
      <c r="A77" s="86" t="s">
        <v>493</v>
      </c>
      <c r="B77" s="86" t="s">
        <v>479</v>
      </c>
      <c r="C77" s="86" t="s">
        <v>288</v>
      </c>
      <c r="D77" s="86" t="s">
        <v>450</v>
      </c>
      <c r="E77" s="86" t="s">
        <v>289</v>
      </c>
    </row>
    <row r="78" spans="1:5" ht="39" x14ac:dyDescent="0.25">
      <c r="A78" s="86" t="s">
        <v>297</v>
      </c>
      <c r="B78" s="86" t="s">
        <v>298</v>
      </c>
      <c r="C78" s="86" t="s">
        <v>288</v>
      </c>
      <c r="D78" s="86" t="s">
        <v>452</v>
      </c>
      <c r="E78" s="86" t="s">
        <v>9</v>
      </c>
    </row>
    <row r="79" spans="1:5" ht="39" x14ac:dyDescent="0.25">
      <c r="A79" s="86" t="s">
        <v>297</v>
      </c>
      <c r="B79" s="86" t="s">
        <v>298</v>
      </c>
      <c r="C79" s="86" t="s">
        <v>288</v>
      </c>
      <c r="D79" s="86" t="s">
        <v>467</v>
      </c>
      <c r="E79" s="86" t="s">
        <v>9</v>
      </c>
    </row>
    <row r="80" spans="1:5" ht="39" x14ac:dyDescent="0.25">
      <c r="A80" s="86" t="s">
        <v>297</v>
      </c>
      <c r="B80" s="86" t="s">
        <v>298</v>
      </c>
      <c r="C80" s="86" t="s">
        <v>288</v>
      </c>
      <c r="D80" s="86" t="s">
        <v>468</v>
      </c>
      <c r="E80" s="86" t="s">
        <v>9</v>
      </c>
    </row>
    <row r="81" spans="1:5" ht="39" x14ac:dyDescent="0.25">
      <c r="A81" s="86" t="s">
        <v>488</v>
      </c>
      <c r="B81" s="86" t="s">
        <v>164</v>
      </c>
      <c r="C81" s="86" t="s">
        <v>288</v>
      </c>
      <c r="D81" s="86" t="s">
        <v>452</v>
      </c>
      <c r="E81" s="86" t="s">
        <v>9</v>
      </c>
    </row>
    <row r="82" spans="1:5" ht="39" x14ac:dyDescent="0.25">
      <c r="A82" s="86" t="s">
        <v>476</v>
      </c>
      <c r="B82" s="86" t="s">
        <v>291</v>
      </c>
      <c r="C82" s="86" t="s">
        <v>288</v>
      </c>
      <c r="D82" s="86" t="s">
        <v>452</v>
      </c>
      <c r="E82" s="86" t="s">
        <v>9</v>
      </c>
    </row>
    <row r="83" spans="1:5" ht="39" x14ac:dyDescent="0.25">
      <c r="A83" s="86" t="s">
        <v>476</v>
      </c>
      <c r="B83" s="86" t="s">
        <v>291</v>
      </c>
      <c r="C83" s="86" t="s">
        <v>288</v>
      </c>
      <c r="D83" s="86" t="s">
        <v>463</v>
      </c>
      <c r="E83" s="86" t="s">
        <v>9</v>
      </c>
    </row>
    <row r="84" spans="1:5" ht="39" x14ac:dyDescent="0.25">
      <c r="A84" s="86" t="s">
        <v>476</v>
      </c>
      <c r="B84" s="86" t="s">
        <v>291</v>
      </c>
      <c r="C84" s="86" t="s">
        <v>288</v>
      </c>
      <c r="D84" s="86" t="s">
        <v>464</v>
      </c>
      <c r="E84" s="86" t="s">
        <v>9</v>
      </c>
    </row>
    <row r="85" spans="1:5" ht="39" x14ac:dyDescent="0.25">
      <c r="A85" s="86" t="s">
        <v>476</v>
      </c>
      <c r="B85" s="86" t="s">
        <v>291</v>
      </c>
      <c r="C85" s="86" t="s">
        <v>288</v>
      </c>
      <c r="D85" s="86" t="s">
        <v>466</v>
      </c>
      <c r="E85" s="86" t="s">
        <v>9</v>
      </c>
    </row>
    <row r="86" spans="1:5" ht="39" x14ac:dyDescent="0.25">
      <c r="A86" s="86" t="s">
        <v>476</v>
      </c>
      <c r="B86" s="87" t="s">
        <v>291</v>
      </c>
      <c r="C86" s="86" t="s">
        <v>288</v>
      </c>
      <c r="D86" s="86" t="s">
        <v>465</v>
      </c>
      <c r="E86" s="86" t="s">
        <v>9</v>
      </c>
    </row>
    <row r="87" spans="1:5" ht="39" x14ac:dyDescent="0.25">
      <c r="A87" s="86" t="s">
        <v>476</v>
      </c>
      <c r="B87" s="86" t="s">
        <v>291</v>
      </c>
      <c r="C87" s="86" t="s">
        <v>288</v>
      </c>
      <c r="D87" s="86" t="s">
        <v>468</v>
      </c>
      <c r="E87" s="86" t="s">
        <v>9</v>
      </c>
    </row>
    <row r="88" spans="1:5" ht="39" x14ac:dyDescent="0.25">
      <c r="A88" s="86" t="s">
        <v>476</v>
      </c>
      <c r="B88" s="86" t="s">
        <v>291</v>
      </c>
      <c r="C88" s="86" t="s">
        <v>288</v>
      </c>
      <c r="D88" s="86" t="s">
        <v>467</v>
      </c>
      <c r="E88" s="86" t="s">
        <v>9</v>
      </c>
    </row>
    <row r="89" spans="1:5" ht="39" x14ac:dyDescent="0.25">
      <c r="A89" s="86" t="s">
        <v>475</v>
      </c>
      <c r="B89" s="86" t="s">
        <v>219</v>
      </c>
      <c r="C89" s="86" t="s">
        <v>288</v>
      </c>
      <c r="D89" s="86" t="s">
        <v>451</v>
      </c>
      <c r="E89" s="86" t="s">
        <v>9</v>
      </c>
    </row>
    <row r="90" spans="1:5" ht="39" x14ac:dyDescent="0.25">
      <c r="A90" s="86" t="s">
        <v>475</v>
      </c>
      <c r="B90" s="86" t="s">
        <v>219</v>
      </c>
      <c r="C90" s="86" t="s">
        <v>288</v>
      </c>
      <c r="D90" s="86" t="s">
        <v>461</v>
      </c>
      <c r="E90" s="86" t="s">
        <v>9</v>
      </c>
    </row>
    <row r="91" spans="1:5" ht="39" x14ac:dyDescent="0.25">
      <c r="A91" s="86" t="s">
        <v>475</v>
      </c>
      <c r="B91" s="86" t="s">
        <v>219</v>
      </c>
      <c r="C91" s="86" t="s">
        <v>288</v>
      </c>
      <c r="D91" s="86" t="s">
        <v>462</v>
      </c>
      <c r="E91" s="86" t="s">
        <v>9</v>
      </c>
    </row>
    <row r="92" spans="1:5" ht="51.75" x14ac:dyDescent="0.25">
      <c r="A92" s="86" t="s">
        <v>475</v>
      </c>
      <c r="B92" s="86" t="s">
        <v>219</v>
      </c>
      <c r="C92" s="86" t="s">
        <v>288</v>
      </c>
      <c r="D92" s="86" t="s">
        <v>460</v>
      </c>
      <c r="E92" s="86" t="s">
        <v>9</v>
      </c>
    </row>
    <row r="93" spans="1:5" ht="39" x14ac:dyDescent="0.25">
      <c r="A93" s="86" t="s">
        <v>475</v>
      </c>
      <c r="B93" s="86" t="s">
        <v>219</v>
      </c>
      <c r="C93" s="86" t="s">
        <v>288</v>
      </c>
      <c r="D93" s="86" t="s">
        <v>459</v>
      </c>
      <c r="E93" s="86" t="s">
        <v>9</v>
      </c>
    </row>
    <row r="94" spans="1:5" ht="39" x14ac:dyDescent="0.25">
      <c r="A94" s="86" t="s">
        <v>472</v>
      </c>
      <c r="B94" s="86" t="s">
        <v>371</v>
      </c>
      <c r="C94" s="86" t="s">
        <v>288</v>
      </c>
      <c r="D94" s="86" t="s">
        <v>452</v>
      </c>
      <c r="E94" s="86" t="s">
        <v>9</v>
      </c>
    </row>
    <row r="95" spans="1:5" ht="39" x14ac:dyDescent="0.25">
      <c r="A95" s="86" t="s">
        <v>472</v>
      </c>
      <c r="B95" s="86" t="s">
        <v>371</v>
      </c>
      <c r="C95" s="86" t="s">
        <v>288</v>
      </c>
      <c r="D95" s="86" t="s">
        <v>463</v>
      </c>
      <c r="E95" s="86" t="s">
        <v>9</v>
      </c>
    </row>
    <row r="96" spans="1:5" ht="39" x14ac:dyDescent="0.25">
      <c r="A96" s="86" t="s">
        <v>472</v>
      </c>
      <c r="B96" s="86" t="s">
        <v>371</v>
      </c>
      <c r="C96" s="86" t="s">
        <v>288</v>
      </c>
      <c r="D96" s="86" t="s">
        <v>464</v>
      </c>
      <c r="E96" s="86" t="s">
        <v>9</v>
      </c>
    </row>
    <row r="97" spans="1:5" ht="39" x14ac:dyDescent="0.25">
      <c r="A97" s="86" t="s">
        <v>486</v>
      </c>
      <c r="B97" s="86" t="s">
        <v>294</v>
      </c>
      <c r="C97" s="86" t="s">
        <v>288</v>
      </c>
      <c r="D97" s="86" t="s">
        <v>452</v>
      </c>
      <c r="E97" s="86" t="s">
        <v>9</v>
      </c>
    </row>
    <row r="98" spans="1:5" ht="39" x14ac:dyDescent="0.25">
      <c r="A98" s="86" t="s">
        <v>484</v>
      </c>
      <c r="B98" s="86" t="s">
        <v>296</v>
      </c>
      <c r="C98" s="86" t="s">
        <v>288</v>
      </c>
      <c r="D98" s="86" t="s">
        <v>452</v>
      </c>
      <c r="E98" s="86" t="s">
        <v>9</v>
      </c>
    </row>
    <row r="99" spans="1:5" ht="39" x14ac:dyDescent="0.25">
      <c r="A99" s="86" t="s">
        <v>494</v>
      </c>
      <c r="B99" s="86" t="s">
        <v>479</v>
      </c>
      <c r="C99" s="86" t="s">
        <v>288</v>
      </c>
      <c r="D99" s="86" t="s">
        <v>450</v>
      </c>
      <c r="E99" s="86" t="s">
        <v>289</v>
      </c>
    </row>
    <row r="100" spans="1:5" ht="39" x14ac:dyDescent="0.25">
      <c r="A100" s="86" t="s">
        <v>482</v>
      </c>
      <c r="B100" s="86" t="s">
        <v>298</v>
      </c>
      <c r="C100" s="86" t="s">
        <v>288</v>
      </c>
      <c r="D100" s="86" t="s">
        <v>452</v>
      </c>
      <c r="E100" s="86" t="s">
        <v>9</v>
      </c>
    </row>
    <row r="101" spans="1:5" ht="39" x14ac:dyDescent="0.25">
      <c r="A101" s="86" t="s">
        <v>482</v>
      </c>
      <c r="B101" s="86" t="s">
        <v>298</v>
      </c>
      <c r="C101" s="86" t="s">
        <v>288</v>
      </c>
      <c r="D101" s="86" t="s">
        <v>467</v>
      </c>
      <c r="E101" s="86" t="s">
        <v>9</v>
      </c>
    </row>
    <row r="102" spans="1:5" ht="39" x14ac:dyDescent="0.25">
      <c r="A102" s="86" t="s">
        <v>482</v>
      </c>
      <c r="B102" s="86" t="s">
        <v>298</v>
      </c>
      <c r="C102" s="86" t="s">
        <v>288</v>
      </c>
      <c r="D102" s="86" t="s">
        <v>468</v>
      </c>
      <c r="E102" s="86" t="s">
        <v>9</v>
      </c>
    </row>
    <row r="103" spans="1:5" ht="51.75" x14ac:dyDescent="0.25">
      <c r="A103" s="86" t="s">
        <v>270</v>
      </c>
      <c r="B103" s="86" t="s">
        <v>369</v>
      </c>
      <c r="C103" s="86" t="s">
        <v>29</v>
      </c>
      <c r="D103" s="86" t="s">
        <v>452</v>
      </c>
      <c r="E103" s="86" t="s">
        <v>502</v>
      </c>
    </row>
    <row r="104" spans="1:5" ht="39" x14ac:dyDescent="0.25">
      <c r="A104" s="86" t="s">
        <v>270</v>
      </c>
      <c r="B104" s="86" t="s">
        <v>369</v>
      </c>
      <c r="C104" s="86" t="s">
        <v>29</v>
      </c>
      <c r="D104" s="86" t="s">
        <v>496</v>
      </c>
      <c r="E104" s="86" t="s">
        <v>497</v>
      </c>
    </row>
    <row r="105" spans="1:5" ht="39" x14ac:dyDescent="0.25">
      <c r="A105" s="86" t="s">
        <v>477</v>
      </c>
      <c r="B105" s="86" t="s">
        <v>291</v>
      </c>
      <c r="C105" s="86" t="s">
        <v>471</v>
      </c>
      <c r="D105" s="86" t="s">
        <v>466</v>
      </c>
      <c r="E105" s="86" t="s">
        <v>9</v>
      </c>
    </row>
    <row r="106" spans="1:5" ht="39" x14ac:dyDescent="0.25">
      <c r="A106" s="86" t="s">
        <v>477</v>
      </c>
      <c r="B106" s="86" t="s">
        <v>291</v>
      </c>
      <c r="C106" s="86" t="s">
        <v>471</v>
      </c>
      <c r="D106" s="86" t="s">
        <v>465</v>
      </c>
      <c r="E106" s="86" t="s">
        <v>9</v>
      </c>
    </row>
    <row r="107" spans="1:5" ht="39" x14ac:dyDescent="0.25">
      <c r="A107" s="86" t="s">
        <v>487</v>
      </c>
      <c r="B107" s="86" t="s">
        <v>294</v>
      </c>
      <c r="C107" s="86" t="s">
        <v>471</v>
      </c>
      <c r="D107" s="86" t="s">
        <v>452</v>
      </c>
      <c r="E107" s="86" t="s">
        <v>13</v>
      </c>
    </row>
    <row r="108" spans="1:5" ht="39" x14ac:dyDescent="0.25">
      <c r="A108" s="86" t="s">
        <v>487</v>
      </c>
      <c r="B108" s="86" t="s">
        <v>294</v>
      </c>
      <c r="C108" s="86" t="s">
        <v>471</v>
      </c>
      <c r="D108" s="86" t="s">
        <v>496</v>
      </c>
      <c r="E108" s="86" t="s">
        <v>165</v>
      </c>
    </row>
    <row r="109" spans="1:5" ht="39" x14ac:dyDescent="0.25">
      <c r="A109" s="86" t="s">
        <v>487</v>
      </c>
      <c r="B109" s="86" t="s">
        <v>294</v>
      </c>
      <c r="C109" s="86" t="s">
        <v>471</v>
      </c>
      <c r="D109" s="86" t="s">
        <v>481</v>
      </c>
      <c r="E109" s="86" t="s">
        <v>500</v>
      </c>
    </row>
    <row r="110" spans="1:5" ht="39" x14ac:dyDescent="0.25">
      <c r="A110" s="86" t="s">
        <v>470</v>
      </c>
      <c r="B110" s="86" t="s">
        <v>371</v>
      </c>
      <c r="C110" s="86" t="s">
        <v>471</v>
      </c>
      <c r="D110" s="86" t="s">
        <v>442</v>
      </c>
      <c r="E110" s="86" t="s">
        <v>492</v>
      </c>
    </row>
    <row r="111" spans="1:5" ht="39" x14ac:dyDescent="0.25">
      <c r="A111" s="86" t="s">
        <v>470</v>
      </c>
      <c r="B111" s="86" t="s">
        <v>371</v>
      </c>
      <c r="C111" s="86" t="s">
        <v>471</v>
      </c>
      <c r="D111" s="86" t="s">
        <v>452</v>
      </c>
      <c r="E111" s="86" t="s">
        <v>13</v>
      </c>
    </row>
    <row r="112" spans="1:5" ht="39" x14ac:dyDescent="0.25">
      <c r="A112" s="86" t="s">
        <v>470</v>
      </c>
      <c r="B112" s="86" t="s">
        <v>371</v>
      </c>
      <c r="C112" s="86" t="s">
        <v>471</v>
      </c>
      <c r="D112" s="86" t="s">
        <v>481</v>
      </c>
      <c r="E112" s="86" t="s">
        <v>500</v>
      </c>
    </row>
    <row r="113" spans="1:5" ht="39" x14ac:dyDescent="0.25">
      <c r="A113" s="86" t="s">
        <v>470</v>
      </c>
      <c r="B113" s="86" t="s">
        <v>371</v>
      </c>
      <c r="C113" s="86" t="s">
        <v>471</v>
      </c>
      <c r="D113" s="86" t="s">
        <v>496</v>
      </c>
      <c r="E113" s="86" t="s">
        <v>165</v>
      </c>
    </row>
    <row r="114" spans="1:5" ht="39" x14ac:dyDescent="0.25">
      <c r="A114" s="86" t="s">
        <v>470</v>
      </c>
      <c r="B114" s="86" t="s">
        <v>371</v>
      </c>
      <c r="C114" s="86" t="s">
        <v>471</v>
      </c>
      <c r="D114" s="86" t="s">
        <v>463</v>
      </c>
      <c r="E114" s="86" t="s">
        <v>13</v>
      </c>
    </row>
    <row r="115" spans="1:5" ht="39" x14ac:dyDescent="0.25">
      <c r="A115" s="86" t="s">
        <v>470</v>
      </c>
      <c r="B115" s="86" t="s">
        <v>371</v>
      </c>
      <c r="C115" s="86" t="s">
        <v>471</v>
      </c>
      <c r="D115" s="86" t="s">
        <v>503</v>
      </c>
      <c r="E115" s="86" t="s">
        <v>165</v>
      </c>
    </row>
    <row r="116" spans="1:5" ht="39" x14ac:dyDescent="0.25">
      <c r="A116" s="86" t="s">
        <v>470</v>
      </c>
      <c r="B116" s="86" t="s">
        <v>371</v>
      </c>
      <c r="C116" s="86" t="s">
        <v>471</v>
      </c>
      <c r="D116" s="86" t="s">
        <v>490</v>
      </c>
      <c r="E116" s="86" t="s">
        <v>492</v>
      </c>
    </row>
    <row r="117" spans="1:5" ht="39" x14ac:dyDescent="0.25">
      <c r="A117" s="86" t="s">
        <v>470</v>
      </c>
      <c r="B117" s="86" t="s">
        <v>371</v>
      </c>
      <c r="C117" s="86" t="s">
        <v>471</v>
      </c>
      <c r="D117" s="86" t="s">
        <v>464</v>
      </c>
      <c r="E117" s="86" t="s">
        <v>13</v>
      </c>
    </row>
    <row r="118" spans="1:5" ht="39" x14ac:dyDescent="0.25">
      <c r="A118" s="86" t="s">
        <v>470</v>
      </c>
      <c r="B118" s="86" t="s">
        <v>371</v>
      </c>
      <c r="C118" s="86" t="s">
        <v>471</v>
      </c>
      <c r="D118" s="86" t="s">
        <v>489</v>
      </c>
      <c r="E118" s="86" t="s">
        <v>500</v>
      </c>
    </row>
    <row r="119" spans="1:5" ht="39" x14ac:dyDescent="0.25">
      <c r="A119" s="86" t="s">
        <v>470</v>
      </c>
      <c r="B119" s="86" t="s">
        <v>371</v>
      </c>
      <c r="C119" s="86" t="s">
        <v>471</v>
      </c>
      <c r="D119" s="86" t="s">
        <v>504</v>
      </c>
      <c r="E119" s="86" t="s">
        <v>165</v>
      </c>
    </row>
    <row r="120" spans="1:5" ht="39" x14ac:dyDescent="0.25">
      <c r="A120" s="86" t="s">
        <v>473</v>
      </c>
      <c r="B120" s="86" t="s">
        <v>219</v>
      </c>
      <c r="C120" s="86" t="s">
        <v>471</v>
      </c>
      <c r="D120" s="86" t="s">
        <v>451</v>
      </c>
      <c r="E120" s="86" t="s">
        <v>9</v>
      </c>
    </row>
    <row r="121" spans="1:5" ht="39" x14ac:dyDescent="0.25">
      <c r="A121" s="86" t="s">
        <v>473</v>
      </c>
      <c r="B121" s="86" t="s">
        <v>219</v>
      </c>
      <c r="C121" s="86" t="s">
        <v>471</v>
      </c>
      <c r="D121" s="86" t="s">
        <v>461</v>
      </c>
      <c r="E121" s="86" t="s">
        <v>9</v>
      </c>
    </row>
    <row r="122" spans="1:5" ht="39" x14ac:dyDescent="0.25">
      <c r="A122" s="86" t="s">
        <v>473</v>
      </c>
      <c r="B122" s="86" t="s">
        <v>219</v>
      </c>
      <c r="C122" s="86" t="s">
        <v>471</v>
      </c>
      <c r="D122" s="86" t="s">
        <v>462</v>
      </c>
      <c r="E122" s="86" t="s">
        <v>9</v>
      </c>
    </row>
    <row r="123" spans="1:5" ht="51.75" x14ac:dyDescent="0.25">
      <c r="A123" s="86" t="s">
        <v>473</v>
      </c>
      <c r="B123" s="86" t="s">
        <v>219</v>
      </c>
      <c r="C123" s="86" t="s">
        <v>471</v>
      </c>
      <c r="D123" s="86" t="s">
        <v>460</v>
      </c>
      <c r="E123" s="86" t="s">
        <v>9</v>
      </c>
    </row>
    <row r="124" spans="1:5" ht="39" x14ac:dyDescent="0.25">
      <c r="A124" s="86" t="s">
        <v>473</v>
      </c>
      <c r="B124" s="86" t="s">
        <v>219</v>
      </c>
      <c r="C124" s="86" t="s">
        <v>471</v>
      </c>
      <c r="D124" s="86" t="s">
        <v>459</v>
      </c>
      <c r="E124" s="86" t="s">
        <v>9</v>
      </c>
    </row>
    <row r="125" spans="1:5" ht="39" x14ac:dyDescent="0.25">
      <c r="A125" s="86" t="s">
        <v>485</v>
      </c>
      <c r="B125" s="86" t="s">
        <v>296</v>
      </c>
      <c r="C125" s="86" t="s">
        <v>471</v>
      </c>
      <c r="D125" s="86" t="s">
        <v>452</v>
      </c>
      <c r="E125" s="86" t="s">
        <v>13</v>
      </c>
    </row>
    <row r="126" spans="1:5" ht="39" x14ac:dyDescent="0.25">
      <c r="A126" s="86" t="s">
        <v>485</v>
      </c>
      <c r="B126" s="86" t="s">
        <v>296</v>
      </c>
      <c r="C126" s="86" t="s">
        <v>471</v>
      </c>
      <c r="D126" s="86" t="s">
        <v>481</v>
      </c>
      <c r="E126" s="86" t="s">
        <v>500</v>
      </c>
    </row>
    <row r="127" spans="1:5" ht="39" x14ac:dyDescent="0.25">
      <c r="A127" s="86" t="s">
        <v>485</v>
      </c>
      <c r="B127" s="86" t="s">
        <v>296</v>
      </c>
      <c r="C127" s="86" t="s">
        <v>471</v>
      </c>
      <c r="D127" s="86" t="s">
        <v>496</v>
      </c>
      <c r="E127" s="86" t="s">
        <v>165</v>
      </c>
    </row>
    <row r="128" spans="1:5" ht="39" x14ac:dyDescent="0.25">
      <c r="A128" s="86" t="s">
        <v>483</v>
      </c>
      <c r="B128" s="86" t="s">
        <v>298</v>
      </c>
      <c r="C128" s="86" t="s">
        <v>471</v>
      </c>
      <c r="D128" s="86" t="s">
        <v>452</v>
      </c>
      <c r="E128" s="86" t="s">
        <v>13</v>
      </c>
    </row>
    <row r="129" spans="1:5" ht="39" x14ac:dyDescent="0.25">
      <c r="A129" s="86" t="s">
        <v>483</v>
      </c>
      <c r="B129" s="86" t="s">
        <v>298</v>
      </c>
      <c r="C129" s="86" t="s">
        <v>471</v>
      </c>
      <c r="D129" s="86" t="s">
        <v>481</v>
      </c>
      <c r="E129" s="86" t="s">
        <v>492</v>
      </c>
    </row>
    <row r="130" spans="1:5" ht="39" x14ac:dyDescent="0.25">
      <c r="A130" s="86" t="s">
        <v>483</v>
      </c>
      <c r="B130" s="86" t="s">
        <v>298</v>
      </c>
      <c r="C130" s="86" t="s">
        <v>471</v>
      </c>
      <c r="D130" s="86" t="s">
        <v>496</v>
      </c>
      <c r="E130" s="86" t="s">
        <v>165</v>
      </c>
    </row>
    <row r="131" spans="1:5" ht="39" x14ac:dyDescent="0.25">
      <c r="A131" s="86" t="s">
        <v>483</v>
      </c>
      <c r="B131" s="86" t="s">
        <v>298</v>
      </c>
      <c r="C131" s="86" t="s">
        <v>471</v>
      </c>
      <c r="D131" s="86" t="s">
        <v>456</v>
      </c>
      <c r="E131" s="86" t="s">
        <v>165</v>
      </c>
    </row>
    <row r="132" spans="1:5" ht="39" x14ac:dyDescent="0.25">
      <c r="A132" s="86" t="s">
        <v>483</v>
      </c>
      <c r="B132" s="86" t="s">
        <v>298</v>
      </c>
      <c r="C132" s="86" t="s">
        <v>471</v>
      </c>
      <c r="D132" s="86" t="s">
        <v>467</v>
      </c>
      <c r="E132" s="86" t="s">
        <v>13</v>
      </c>
    </row>
    <row r="133" spans="1:5" ht="39" x14ac:dyDescent="0.25">
      <c r="A133" s="86" t="s">
        <v>483</v>
      </c>
      <c r="B133" s="86" t="s">
        <v>298</v>
      </c>
      <c r="C133" s="86" t="s">
        <v>471</v>
      </c>
      <c r="D133" s="86" t="s">
        <v>491</v>
      </c>
      <c r="E133" s="86" t="s">
        <v>492</v>
      </c>
    </row>
    <row r="134" spans="1:5" ht="39" x14ac:dyDescent="0.25">
      <c r="A134" s="86" t="s">
        <v>483</v>
      </c>
      <c r="B134" s="86" t="s">
        <v>298</v>
      </c>
      <c r="C134" s="86" t="s">
        <v>471</v>
      </c>
      <c r="D134" s="86" t="s">
        <v>505</v>
      </c>
      <c r="E134" s="86" t="s">
        <v>165</v>
      </c>
    </row>
    <row r="135" spans="1:5" ht="39" x14ac:dyDescent="0.25">
      <c r="A135" s="86" t="s">
        <v>483</v>
      </c>
      <c r="B135" s="86" t="s">
        <v>298</v>
      </c>
      <c r="C135" s="86" t="s">
        <v>471</v>
      </c>
      <c r="D135" s="86" t="s">
        <v>468</v>
      </c>
      <c r="E135" s="86" t="s">
        <v>13</v>
      </c>
    </row>
    <row r="136" spans="1:5" ht="39" x14ac:dyDescent="0.25">
      <c r="A136" s="86" t="s">
        <v>483</v>
      </c>
      <c r="B136" s="86" t="s">
        <v>298</v>
      </c>
      <c r="C136" s="86" t="s">
        <v>471</v>
      </c>
      <c r="D136" s="86" t="s">
        <v>506</v>
      </c>
      <c r="E136" s="86" t="s">
        <v>165</v>
      </c>
    </row>
    <row r="137" spans="1:5" ht="39" x14ac:dyDescent="0.25">
      <c r="A137" s="86" t="s">
        <v>483</v>
      </c>
      <c r="B137" s="86" t="s">
        <v>298</v>
      </c>
      <c r="C137" s="86" t="s">
        <v>471</v>
      </c>
      <c r="D137" s="86" t="s">
        <v>469</v>
      </c>
      <c r="E137" s="86" t="s">
        <v>500</v>
      </c>
    </row>
    <row r="138" spans="1:5" ht="26.25" x14ac:dyDescent="0.25">
      <c r="A138" s="86" t="s">
        <v>167</v>
      </c>
      <c r="B138" s="86" t="s">
        <v>119</v>
      </c>
      <c r="C138" s="86" t="s">
        <v>46</v>
      </c>
      <c r="D138" s="86" t="s">
        <v>456</v>
      </c>
      <c r="E138" s="86" t="s">
        <v>165</v>
      </c>
    </row>
    <row r="139" spans="1:5" ht="26.25" x14ac:dyDescent="0.25">
      <c r="A139" s="86" t="s">
        <v>163</v>
      </c>
      <c r="B139" s="86" t="s">
        <v>164</v>
      </c>
      <c r="C139" s="86" t="s">
        <v>46</v>
      </c>
      <c r="D139" s="86" t="s">
        <v>452</v>
      </c>
      <c r="E139" s="86" t="s">
        <v>499</v>
      </c>
    </row>
    <row r="140" spans="1:5" x14ac:dyDescent="0.25">
      <c r="A140" s="86" t="s">
        <v>175</v>
      </c>
      <c r="B140" s="86" t="s">
        <v>143</v>
      </c>
      <c r="C140" s="86" t="s">
        <v>46</v>
      </c>
      <c r="D140" s="86" t="s">
        <v>452</v>
      </c>
      <c r="E140" s="86" t="s">
        <v>9</v>
      </c>
    </row>
    <row r="141" spans="1:5" ht="26.25" x14ac:dyDescent="0.25">
      <c r="A141" s="86" t="s">
        <v>175</v>
      </c>
      <c r="B141" s="86" t="s">
        <v>143</v>
      </c>
      <c r="C141" s="86" t="s">
        <v>46</v>
      </c>
      <c r="D141" s="86" t="s">
        <v>467</v>
      </c>
      <c r="E141" s="86" t="s">
        <v>9</v>
      </c>
    </row>
  </sheetData>
  <sortState ref="A2:E141">
    <sortCondition ref="A2:A141"/>
  </sortState>
  <mergeCells count="5">
    <mergeCell ref="G1:G2"/>
    <mergeCell ref="G4:G5"/>
    <mergeCell ref="G7:G8"/>
    <mergeCell ref="H8:I8"/>
    <mergeCell ref="K8:L8"/>
  </mergeCells>
  <conditionalFormatting sqref="H5:M5">
    <cfRule type="cellIs" dxfId="47" priority="1" operator="greaterThan">
      <formula>0.2</formula>
    </cfRule>
    <cfRule type="cellIs" dxfId="46" priority="2" operator="greaterThan">
      <formula>0.1</formula>
    </cfRule>
    <cfRule type="cellIs" dxfId="45" priority="3" operator="greater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"/>
  <sheetViews>
    <sheetView zoomScale="55" zoomScaleNormal="55" workbookViewId="0">
      <selection activeCell="H41" sqref="H41"/>
    </sheetView>
  </sheetViews>
  <sheetFormatPr defaultRowHeight="15" x14ac:dyDescent="0.25"/>
  <cols>
    <col min="1" max="1" width="8.5703125" bestFit="1" customWidth="1"/>
    <col min="2" max="2" width="27.7109375" customWidth="1"/>
    <col min="3" max="3" width="30" customWidth="1"/>
    <col min="4" max="4" width="43" customWidth="1"/>
    <col min="5" max="5" width="42.42578125" customWidth="1"/>
    <col min="7" max="7" width="19.5703125" bestFit="1" customWidth="1"/>
  </cols>
  <sheetData>
    <row r="1" spans="1:16" x14ac:dyDescent="0.25">
      <c r="A1" s="17" t="s">
        <v>0</v>
      </c>
      <c r="B1" s="18" t="s">
        <v>1</v>
      </c>
      <c r="C1" s="18" t="s">
        <v>2</v>
      </c>
      <c r="D1" s="18" t="s">
        <v>3</v>
      </c>
      <c r="E1" s="6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709</v>
      </c>
      <c r="B2" t="s">
        <v>710</v>
      </c>
      <c r="C2" t="s">
        <v>31</v>
      </c>
      <c r="D2" t="s">
        <v>711</v>
      </c>
      <c r="E2" t="s">
        <v>712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709</v>
      </c>
      <c r="B3" t="s">
        <v>710</v>
      </c>
      <c r="C3" t="s">
        <v>31</v>
      </c>
      <c r="D3" t="s">
        <v>713</v>
      </c>
      <c r="E3" t="s">
        <v>712</v>
      </c>
    </row>
    <row r="4" spans="1:16" x14ac:dyDescent="0.25">
      <c r="A4" t="s">
        <v>709</v>
      </c>
      <c r="B4" t="s">
        <v>710</v>
      </c>
      <c r="C4" t="s">
        <v>31</v>
      </c>
      <c r="D4" t="s">
        <v>714</v>
      </c>
      <c r="E4" t="s">
        <v>497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709</v>
      </c>
      <c r="B5" t="s">
        <v>710</v>
      </c>
      <c r="C5" t="s">
        <v>31</v>
      </c>
      <c r="D5" t="s">
        <v>715</v>
      </c>
      <c r="E5" t="s">
        <v>497</v>
      </c>
      <c r="G5" s="101"/>
      <c r="H5" s="7">
        <v>0</v>
      </c>
      <c r="I5" s="7">
        <v>0</v>
      </c>
      <c r="J5" s="7">
        <v>0</v>
      </c>
      <c r="K5" s="7">
        <v>0</v>
      </c>
      <c r="L5" s="7">
        <v>9.2592592592592605E-3</v>
      </c>
      <c r="M5" s="8">
        <v>0</v>
      </c>
    </row>
    <row r="6" spans="1:16" x14ac:dyDescent="0.25">
      <c r="G6" s="100" t="s">
        <v>68</v>
      </c>
      <c r="H6" s="9" t="s">
        <v>64</v>
      </c>
      <c r="I6" s="9"/>
      <c r="J6" s="9"/>
      <c r="K6" s="9" t="s">
        <v>65</v>
      </c>
      <c r="L6" s="9"/>
      <c r="M6" s="10"/>
    </row>
    <row r="7" spans="1:16" ht="15.75" thickBot="1" x14ac:dyDescent="0.3">
      <c r="G7" s="101"/>
      <c r="H7" s="102">
        <f>AVERAGE(H5:M5)</f>
        <v>1.54320987654321E-3</v>
      </c>
      <c r="I7" s="102"/>
      <c r="J7" s="11"/>
      <c r="K7" s="103">
        <f>SUMPRODUCT(H2:M2,H5:M5)</f>
        <v>1.0277777777777778E-3</v>
      </c>
      <c r="L7" s="103"/>
      <c r="M7" s="12"/>
    </row>
    <row r="9" spans="1:16" x14ac:dyDescent="0.25">
      <c r="K9" s="51">
        <v>0</v>
      </c>
      <c r="L9">
        <v>0</v>
      </c>
    </row>
    <row r="10" spans="1:16" x14ac:dyDescent="0.25">
      <c r="K10" s="51">
        <v>0</v>
      </c>
      <c r="L10">
        <v>9.9959999999999997E-3</v>
      </c>
    </row>
    <row r="11" spans="1:16" x14ac:dyDescent="0.25">
      <c r="K11" s="51">
        <v>0</v>
      </c>
      <c r="L11">
        <v>0</v>
      </c>
    </row>
    <row r="12" spans="1:16" x14ac:dyDescent="0.25">
      <c r="K12" s="51">
        <v>0</v>
      </c>
      <c r="L12">
        <v>0.28699999999999998</v>
      </c>
    </row>
    <row r="13" spans="1:16" x14ac:dyDescent="0.25">
      <c r="K13" s="51">
        <v>9.2592592592592605E-3</v>
      </c>
      <c r="L13">
        <v>6.0185185185185203E-2</v>
      </c>
    </row>
    <row r="14" spans="1:16" x14ac:dyDescent="0.25">
      <c r="K14" s="51">
        <v>0</v>
      </c>
      <c r="L14">
        <v>0</v>
      </c>
    </row>
    <row r="16" spans="1:16" x14ac:dyDescent="0.25">
      <c r="K16" s="51">
        <v>0</v>
      </c>
      <c r="L16" s="51">
        <v>0</v>
      </c>
      <c r="M16" s="51">
        <v>0</v>
      </c>
      <c r="N16" s="51">
        <v>0</v>
      </c>
      <c r="O16" s="51">
        <v>9.2592592592592605E-3</v>
      </c>
      <c r="P16" s="51">
        <v>0</v>
      </c>
    </row>
  </sheetData>
  <mergeCells count="5">
    <mergeCell ref="G1:G2"/>
    <mergeCell ref="G4:G5"/>
    <mergeCell ref="G6:G7"/>
    <mergeCell ref="H7:I7"/>
    <mergeCell ref="K7:L7"/>
  </mergeCells>
  <conditionalFormatting sqref="H5:M5">
    <cfRule type="cellIs" dxfId="44" priority="1" operator="greaterThan">
      <formula>0.2</formula>
    </cfRule>
    <cfRule type="cellIs" dxfId="43" priority="2" operator="greaterThan">
      <formula>0.1</formula>
    </cfRule>
    <cfRule type="cellIs" dxfId="42" priority="3" operator="greater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1"/>
  <sheetViews>
    <sheetView zoomScale="70" zoomScaleNormal="70" workbookViewId="0">
      <selection activeCell="G9" sqref="A1:XFD1048576"/>
    </sheetView>
  </sheetViews>
  <sheetFormatPr defaultRowHeight="15" x14ac:dyDescent="0.25"/>
  <cols>
    <col min="1" max="1" width="14.42578125" bestFit="1" customWidth="1"/>
    <col min="2" max="2" width="33.28515625" bestFit="1" customWidth="1"/>
    <col min="3" max="3" width="58.28515625" bestFit="1" customWidth="1"/>
    <col min="4" max="4" width="14.85546875" bestFit="1" customWidth="1"/>
    <col min="5" max="5" width="27.140625" bestFit="1" customWidth="1"/>
    <col min="7" max="7" width="19.57031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3" ht="15.75" thickBot="1" x14ac:dyDescent="0.3">
      <c r="A2" t="s">
        <v>75</v>
      </c>
      <c r="B2" t="s">
        <v>72</v>
      </c>
      <c r="C2" t="s">
        <v>76</v>
      </c>
      <c r="D2" t="s">
        <v>74</v>
      </c>
      <c r="E2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3" ht="15.75" thickBot="1" x14ac:dyDescent="0.3">
      <c r="A3" t="s">
        <v>71</v>
      </c>
      <c r="B3" t="s">
        <v>72</v>
      </c>
      <c r="C3" t="s">
        <v>73</v>
      </c>
      <c r="D3" t="s">
        <v>74</v>
      </c>
      <c r="E3" t="s">
        <v>9</v>
      </c>
    </row>
    <row r="4" spans="1:13" x14ac:dyDescent="0.25">
      <c r="A4" t="s">
        <v>86</v>
      </c>
      <c r="B4" t="s">
        <v>85</v>
      </c>
      <c r="C4" t="s">
        <v>73</v>
      </c>
      <c r="D4" t="s">
        <v>74</v>
      </c>
      <c r="E4" t="s">
        <v>9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3" ht="15.75" thickBot="1" x14ac:dyDescent="0.3">
      <c r="A5" t="s">
        <v>80</v>
      </c>
      <c r="B5" t="s">
        <v>78</v>
      </c>
      <c r="C5" t="s">
        <v>73</v>
      </c>
      <c r="D5" t="s">
        <v>74</v>
      </c>
      <c r="E5" t="s">
        <v>9</v>
      </c>
      <c r="G5" s="101"/>
      <c r="H5" s="7">
        <v>0</v>
      </c>
      <c r="I5" s="7">
        <v>2.9399999999999999E-2</v>
      </c>
      <c r="J5" s="7">
        <v>0</v>
      </c>
      <c r="K5" s="7">
        <v>0.1225</v>
      </c>
      <c r="L5" s="7">
        <v>0</v>
      </c>
      <c r="M5" s="8">
        <v>0.28599999999999998</v>
      </c>
    </row>
    <row r="6" spans="1:13" ht="15.75" thickBot="1" x14ac:dyDescent="0.3">
      <c r="A6" t="s">
        <v>81</v>
      </c>
      <c r="B6" t="s">
        <v>82</v>
      </c>
      <c r="C6" t="s">
        <v>73</v>
      </c>
      <c r="D6" t="s">
        <v>74</v>
      </c>
      <c r="E6" t="s">
        <v>9</v>
      </c>
    </row>
    <row r="7" spans="1:13" x14ac:dyDescent="0.25">
      <c r="A7" t="s">
        <v>90</v>
      </c>
      <c r="B7" t="s">
        <v>88</v>
      </c>
      <c r="C7" t="s">
        <v>91</v>
      </c>
      <c r="D7" t="s">
        <v>74</v>
      </c>
      <c r="E7" t="s">
        <v>9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3" ht="15.75" thickBot="1" x14ac:dyDescent="0.3">
      <c r="A8" t="s">
        <v>87</v>
      </c>
      <c r="B8" t="s">
        <v>88</v>
      </c>
      <c r="C8" t="s">
        <v>89</v>
      </c>
      <c r="D8" t="s">
        <v>74</v>
      </c>
      <c r="E8" t="s">
        <v>9</v>
      </c>
      <c r="G8" s="101"/>
      <c r="H8" s="102">
        <f>AVERAGE(H5:M5)</f>
        <v>7.2983333333333331E-2</v>
      </c>
      <c r="I8" s="102"/>
      <c r="J8" s="11"/>
      <c r="K8" s="102">
        <f>SUMPRODUCT(H2:M2,H5:M5)</f>
        <v>5.5768399999999996E-2</v>
      </c>
      <c r="L8" s="102"/>
      <c r="M8" s="12"/>
    </row>
    <row r="9" spans="1:13" x14ac:dyDescent="0.25">
      <c r="A9" t="s">
        <v>84</v>
      </c>
      <c r="B9" t="s">
        <v>85</v>
      </c>
      <c r="C9" t="s">
        <v>79</v>
      </c>
      <c r="D9" t="s">
        <v>74</v>
      </c>
      <c r="E9" t="s">
        <v>9</v>
      </c>
    </row>
    <row r="10" spans="1:13" x14ac:dyDescent="0.25">
      <c r="A10" t="s">
        <v>77</v>
      </c>
      <c r="B10" t="s">
        <v>78</v>
      </c>
      <c r="C10" t="s">
        <v>79</v>
      </c>
      <c r="D10" t="s">
        <v>74</v>
      </c>
      <c r="E10" t="s">
        <v>9</v>
      </c>
    </row>
    <row r="11" spans="1:13" x14ac:dyDescent="0.25">
      <c r="A11" t="s">
        <v>83</v>
      </c>
      <c r="B11" t="s">
        <v>82</v>
      </c>
      <c r="C11" t="s">
        <v>79</v>
      </c>
      <c r="D11" t="s">
        <v>74</v>
      </c>
      <c r="E11" t="s">
        <v>9</v>
      </c>
    </row>
  </sheetData>
  <sortState ref="G18:K25">
    <sortCondition ref="G18"/>
  </sortState>
  <mergeCells count="5">
    <mergeCell ref="G1:G2"/>
    <mergeCell ref="G4:G5"/>
    <mergeCell ref="G7:G8"/>
    <mergeCell ref="H8:I8"/>
    <mergeCell ref="K8:L8"/>
  </mergeCells>
  <conditionalFormatting sqref="H5:M5">
    <cfRule type="cellIs" dxfId="41" priority="1" operator="greaterThan">
      <formula>0.2</formula>
    </cfRule>
    <cfRule type="cellIs" dxfId="40" priority="2" operator="greaterThan">
      <formula>0.1</formula>
    </cfRule>
    <cfRule type="cellIs" dxfId="39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7"/>
  <sheetViews>
    <sheetView zoomScale="55" zoomScaleNormal="55" workbookViewId="0">
      <selection activeCell="G1" sqref="G1:M2"/>
    </sheetView>
  </sheetViews>
  <sheetFormatPr defaultRowHeight="15" x14ac:dyDescent="0.25"/>
  <cols>
    <col min="1" max="1" width="14.42578125" bestFit="1" customWidth="1"/>
    <col min="2" max="2" width="33.28515625" bestFit="1" customWidth="1"/>
    <col min="3" max="3" width="58.28515625" bestFit="1" customWidth="1"/>
    <col min="4" max="4" width="14.85546875" bestFit="1" customWidth="1"/>
    <col min="5" max="5" width="27.140625" bestFit="1" customWidth="1"/>
    <col min="7" max="7" width="19.57031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G1" s="100" t="s">
        <v>66</v>
      </c>
      <c r="H1" s="1" t="s">
        <v>58</v>
      </c>
      <c r="I1" s="1" t="s">
        <v>59</v>
      </c>
      <c r="J1" s="1" t="s">
        <v>60</v>
      </c>
      <c r="K1" s="1" t="s">
        <v>61</v>
      </c>
      <c r="L1" s="1" t="s">
        <v>62</v>
      </c>
      <c r="M1" s="2" t="s">
        <v>63</v>
      </c>
    </row>
    <row r="2" spans="1:16" ht="15.75" thickBot="1" x14ac:dyDescent="0.3">
      <c r="A2" t="s">
        <v>77</v>
      </c>
      <c r="B2" t="s">
        <v>78</v>
      </c>
      <c r="C2" t="s">
        <v>79</v>
      </c>
      <c r="D2" t="s">
        <v>716</v>
      </c>
      <c r="E2" t="s">
        <v>9</v>
      </c>
      <c r="G2" s="101"/>
      <c r="H2" s="3">
        <v>0.214</v>
      </c>
      <c r="I2" s="3">
        <v>0.20599999999999999</v>
      </c>
      <c r="J2" s="3">
        <v>0.20599999999999999</v>
      </c>
      <c r="K2" s="3">
        <v>0.156</v>
      </c>
      <c r="L2" s="3">
        <v>0.111</v>
      </c>
      <c r="M2" s="4">
        <v>0.107</v>
      </c>
    </row>
    <row r="3" spans="1:16" ht="15.75" thickBot="1" x14ac:dyDescent="0.3">
      <c r="A3" t="s">
        <v>80</v>
      </c>
      <c r="B3" t="s">
        <v>78</v>
      </c>
      <c r="C3" t="s">
        <v>73</v>
      </c>
      <c r="D3" t="s">
        <v>716</v>
      </c>
      <c r="E3" t="s">
        <v>9</v>
      </c>
    </row>
    <row r="4" spans="1:16" x14ac:dyDescent="0.25">
      <c r="A4" t="s">
        <v>134</v>
      </c>
      <c r="B4" t="s">
        <v>114</v>
      </c>
      <c r="C4" t="s">
        <v>16</v>
      </c>
      <c r="D4" t="s">
        <v>716</v>
      </c>
      <c r="E4" t="s">
        <v>148</v>
      </c>
      <c r="G4" s="100" t="s">
        <v>67</v>
      </c>
      <c r="H4" s="5" t="s">
        <v>58</v>
      </c>
      <c r="I4" s="5" t="s">
        <v>59</v>
      </c>
      <c r="J4" s="5" t="s">
        <v>60</v>
      </c>
      <c r="K4" s="5" t="s">
        <v>61</v>
      </c>
      <c r="L4" s="5" t="s">
        <v>62</v>
      </c>
      <c r="M4" s="6" t="s">
        <v>63</v>
      </c>
    </row>
    <row r="5" spans="1:16" ht="15.75" thickBot="1" x14ac:dyDescent="0.3">
      <c r="A5" t="s">
        <v>113</v>
      </c>
      <c r="B5" t="s">
        <v>114</v>
      </c>
      <c r="C5" t="s">
        <v>112</v>
      </c>
      <c r="D5" t="s">
        <v>716</v>
      </c>
      <c r="E5" t="s">
        <v>9</v>
      </c>
      <c r="G5" s="101"/>
      <c r="H5" s="7">
        <v>0</v>
      </c>
      <c r="I5" s="7">
        <v>3.9216666666666698E-2</v>
      </c>
      <c r="J5" s="7">
        <v>9.6000000000000002E-2</v>
      </c>
      <c r="K5" s="7">
        <v>2.1000000000000001E-2</v>
      </c>
      <c r="L5" s="7">
        <v>0</v>
      </c>
      <c r="M5" s="8">
        <v>0.17583333333333301</v>
      </c>
    </row>
    <row r="6" spans="1:16" ht="15.75" thickBot="1" x14ac:dyDescent="0.3">
      <c r="A6" t="s">
        <v>14</v>
      </c>
      <c r="B6" t="s">
        <v>15</v>
      </c>
      <c r="C6" t="s">
        <v>16</v>
      </c>
      <c r="D6" t="s">
        <v>716</v>
      </c>
      <c r="E6" t="s">
        <v>148</v>
      </c>
    </row>
    <row r="7" spans="1:16" x14ac:dyDescent="0.25">
      <c r="A7" t="s">
        <v>135</v>
      </c>
      <c r="B7" t="s">
        <v>136</v>
      </c>
      <c r="C7" t="s">
        <v>137</v>
      </c>
      <c r="D7" t="s">
        <v>716</v>
      </c>
      <c r="E7" t="s">
        <v>9</v>
      </c>
      <c r="G7" s="100" t="s">
        <v>68</v>
      </c>
      <c r="H7" s="9" t="s">
        <v>64</v>
      </c>
      <c r="I7" s="9"/>
      <c r="J7" s="9"/>
      <c r="K7" s="9" t="s">
        <v>65</v>
      </c>
      <c r="L7" s="9"/>
      <c r="M7" s="10"/>
    </row>
    <row r="8" spans="1:16" ht="15.75" thickBot="1" x14ac:dyDescent="0.3">
      <c r="G8" s="101"/>
      <c r="H8" s="102">
        <f>AVERAGE(H5:M5)</f>
        <v>5.5341666666666622E-2</v>
      </c>
      <c r="I8" s="102"/>
      <c r="J8" s="11"/>
      <c r="K8" s="102">
        <f>SUMPRODUCT(H2:M2,H5:M5)</f>
        <v>4.994479999999997E-2</v>
      </c>
      <c r="L8" s="102"/>
      <c r="M8" s="12"/>
    </row>
    <row r="11" spans="1:16" x14ac:dyDescent="0.25">
      <c r="K11">
        <v>0</v>
      </c>
      <c r="L11">
        <v>3.9216666666666698E-2</v>
      </c>
      <c r="M11">
        <v>9.6000000000000002E-2</v>
      </c>
      <c r="N11">
        <v>2.1000000000000001E-2</v>
      </c>
      <c r="O11">
        <v>0</v>
      </c>
      <c r="P11">
        <v>0.17583333333333301</v>
      </c>
    </row>
    <row r="12" spans="1:16" x14ac:dyDescent="0.25">
      <c r="J12">
        <v>0</v>
      </c>
    </row>
    <row r="13" spans="1:16" x14ac:dyDescent="0.25">
      <c r="J13">
        <v>3.9216666666666698E-2</v>
      </c>
    </row>
    <row r="14" spans="1:16" x14ac:dyDescent="0.25">
      <c r="J14">
        <v>9.6000000000000002E-2</v>
      </c>
    </row>
    <row r="15" spans="1:16" x14ac:dyDescent="0.25">
      <c r="J15">
        <v>2.1000000000000001E-2</v>
      </c>
    </row>
    <row r="16" spans="1:16" x14ac:dyDescent="0.25">
      <c r="J16">
        <v>0</v>
      </c>
    </row>
    <row r="17" spans="10:10" x14ac:dyDescent="0.25">
      <c r="J17">
        <v>0.17583333333333301</v>
      </c>
    </row>
  </sheetData>
  <mergeCells count="5">
    <mergeCell ref="G1:G2"/>
    <mergeCell ref="G4:G5"/>
    <mergeCell ref="G7:G8"/>
    <mergeCell ref="H8:I8"/>
    <mergeCell ref="K8:L8"/>
  </mergeCells>
  <conditionalFormatting sqref="H5:M5">
    <cfRule type="cellIs" dxfId="38" priority="1" operator="greaterThan">
      <formula>0.2</formula>
    </cfRule>
    <cfRule type="cellIs" dxfId="37" priority="2" operator="greaterThan">
      <formula>0.1</formula>
    </cfRule>
    <cfRule type="cellIs" dxfId="36" priority="3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T123"/>
  <sheetViews>
    <sheetView tabSelected="1" topLeftCell="A55" zoomScale="85" zoomScaleNormal="85" workbookViewId="0">
      <selection activeCell="Q66" sqref="Q66"/>
    </sheetView>
  </sheetViews>
  <sheetFormatPr defaultRowHeight="15" x14ac:dyDescent="0.25"/>
  <cols>
    <col min="1" max="1" width="10.140625" bestFit="1" customWidth="1"/>
    <col min="2" max="3" width="12.42578125" bestFit="1" customWidth="1"/>
    <col min="4" max="4" width="8.7109375" bestFit="1" customWidth="1"/>
    <col min="5" max="5" width="9.42578125" bestFit="1" customWidth="1"/>
    <col min="6" max="7" width="12.42578125" bestFit="1" customWidth="1"/>
    <col min="8" max="8" width="12.7109375" customWidth="1"/>
    <col min="9" max="9" width="10.5703125" customWidth="1"/>
    <col min="10" max="10" width="8.85546875" customWidth="1"/>
    <col min="14" max="14" width="13.5703125" bestFit="1" customWidth="1"/>
    <col min="16" max="16" width="9.140625" customWidth="1"/>
    <col min="19" max="19" width="7.42578125" bestFit="1" customWidth="1"/>
    <col min="20" max="20" width="11" bestFit="1" customWidth="1"/>
  </cols>
  <sheetData>
    <row r="1" spans="1:20" s="15" customFormat="1" ht="30.75" thickBot="1" x14ac:dyDescent="0.3">
      <c r="A1" s="68" t="s">
        <v>69</v>
      </c>
      <c r="B1" s="65" t="s">
        <v>58</v>
      </c>
      <c r="C1" s="65" t="s">
        <v>59</v>
      </c>
      <c r="D1" s="65" t="s">
        <v>60</v>
      </c>
      <c r="E1" s="65" t="s">
        <v>61</v>
      </c>
      <c r="F1" s="65" t="s">
        <v>62</v>
      </c>
      <c r="G1" s="65" t="s">
        <v>63</v>
      </c>
      <c r="H1" s="65" t="s">
        <v>64</v>
      </c>
      <c r="I1" s="65" t="s">
        <v>65</v>
      </c>
      <c r="J1" s="66" t="s">
        <v>363</v>
      </c>
      <c r="K1" s="66" t="s">
        <v>364</v>
      </c>
      <c r="L1" s="67" t="s">
        <v>365</v>
      </c>
      <c r="M1" s="81"/>
      <c r="N1" s="81"/>
    </row>
    <row r="2" spans="1:20" x14ac:dyDescent="0.25">
      <c r="A2" s="69" t="s">
        <v>314</v>
      </c>
      <c r="B2" s="71">
        <f>CLARREO!H5</f>
        <v>9.6149999999999999E-2</v>
      </c>
      <c r="C2" s="71">
        <f>CLARREO!I5</f>
        <v>0.14708333333333301</v>
      </c>
      <c r="D2" s="71">
        <f>CLARREO!J5</f>
        <v>0</v>
      </c>
      <c r="E2" s="71">
        <f>CLARREO!K5</f>
        <v>0</v>
      </c>
      <c r="F2" s="71">
        <f>CLARREO!L5</f>
        <v>0</v>
      </c>
      <c r="G2" s="71">
        <f>CLARREO!M5</f>
        <v>0</v>
      </c>
      <c r="H2" s="71">
        <f t="shared" ref="H2:H18" si="0">AVERAGE(B2:G2)</f>
        <v>4.053888888888884E-2</v>
      </c>
      <c r="I2" s="71">
        <f>SUMPRODUCT(B2:G2,ASCENDS!$H$2:$M$2)</f>
        <v>5.0875266666666599E-2</v>
      </c>
      <c r="J2" s="72">
        <v>200</v>
      </c>
      <c r="K2" s="73">
        <v>600</v>
      </c>
      <c r="L2" s="74">
        <v>1</v>
      </c>
      <c r="M2" s="82">
        <f>COUNTIF(B2:G2,"&gt;0")</f>
        <v>2</v>
      </c>
      <c r="N2" s="106" t="s">
        <v>66</v>
      </c>
      <c r="O2" s="1" t="s">
        <v>58</v>
      </c>
      <c r="P2" s="1" t="s">
        <v>59</v>
      </c>
      <c r="Q2" s="1" t="s">
        <v>60</v>
      </c>
      <c r="R2" s="1" t="s">
        <v>61</v>
      </c>
      <c r="S2" s="1" t="s">
        <v>62</v>
      </c>
      <c r="T2" s="2" t="s">
        <v>63</v>
      </c>
    </row>
    <row r="3" spans="1:20" ht="15.75" thickBot="1" x14ac:dyDescent="0.3">
      <c r="A3" s="69" t="s">
        <v>315</v>
      </c>
      <c r="B3" s="71">
        <f>SMAP!H5</f>
        <v>0</v>
      </c>
      <c r="C3" s="71">
        <f>SMAP!I5</f>
        <v>9.9959999999999997E-3</v>
      </c>
      <c r="D3" s="71">
        <f>SMAP!J5</f>
        <v>0</v>
      </c>
      <c r="E3" s="71">
        <f>SMAP!K5</f>
        <v>0.28699999999999998</v>
      </c>
      <c r="F3" s="71">
        <f>SMAP!L5</f>
        <v>6.0185185185185203E-2</v>
      </c>
      <c r="G3" s="71">
        <f>SMAP!M5</f>
        <v>0</v>
      </c>
      <c r="H3" s="71">
        <f t="shared" si="0"/>
        <v>5.9530197530864193E-2</v>
      </c>
      <c r="I3" s="71">
        <f>SUMPRODUCT(B3:G3,ASCENDS!$H$2:$M$2)</f>
        <v>5.351173155555556E-2</v>
      </c>
      <c r="J3" s="72">
        <v>300</v>
      </c>
      <c r="K3" s="73">
        <v>394</v>
      </c>
      <c r="L3" s="74">
        <v>2</v>
      </c>
      <c r="M3" s="82">
        <f t="shared" ref="M3:M18" si="1">COUNTIF(B3:G3,"&gt;0")</f>
        <v>3</v>
      </c>
      <c r="N3" s="107"/>
      <c r="O3" s="3">
        <v>0.214</v>
      </c>
      <c r="P3" s="3">
        <v>0.20599999999999999</v>
      </c>
      <c r="Q3" s="3">
        <v>0.20599999999999999</v>
      </c>
      <c r="R3" s="3">
        <v>0.156</v>
      </c>
      <c r="S3" s="3">
        <v>0.111</v>
      </c>
      <c r="T3" s="4">
        <v>0.107</v>
      </c>
    </row>
    <row r="4" spans="1:20" x14ac:dyDescent="0.25">
      <c r="A4" s="69" t="s">
        <v>319</v>
      </c>
      <c r="B4" s="71">
        <f>'ICESAT-II'!H5</f>
        <v>1.4425E-2</v>
      </c>
      <c r="C4" s="71">
        <f>'ICESAT-II'!I5</f>
        <v>0.17647499999999999</v>
      </c>
      <c r="D4" s="71">
        <f>'ICESAT-II'!J5</f>
        <v>0.14399999999999999</v>
      </c>
      <c r="E4" s="71">
        <f>'ICESAT-II'!K5</f>
        <v>5.9249999999999997E-2</v>
      </c>
      <c r="F4" s="71">
        <f>'ICESAT-II'!L5</f>
        <v>1.38888888888889E-2</v>
      </c>
      <c r="G4" s="71">
        <f>'ICESAT-II'!M5</f>
        <v>8.1240000000000007E-2</v>
      </c>
      <c r="H4" s="71">
        <f t="shared" si="0"/>
        <v>8.1546481481481484E-2</v>
      </c>
      <c r="I4" s="71">
        <f>SUMPRODUCT(B4:G4,ASCENDS!$H$2:$M$2)</f>
        <v>8.8582146666666667E-2</v>
      </c>
      <c r="J4" s="72">
        <v>300</v>
      </c>
      <c r="K4" s="73">
        <v>607</v>
      </c>
      <c r="L4" s="74">
        <v>3</v>
      </c>
      <c r="M4" s="82">
        <f t="shared" si="1"/>
        <v>6</v>
      </c>
      <c r="N4" s="82"/>
    </row>
    <row r="5" spans="1:20" x14ac:dyDescent="0.25">
      <c r="A5" s="69" t="s">
        <v>328</v>
      </c>
      <c r="B5" s="71">
        <f>DESDYNI!H5</f>
        <v>0</v>
      </c>
      <c r="C5" s="71">
        <f>DESDYNI!I5</f>
        <v>0.24592771666666699</v>
      </c>
      <c r="D5" s="71">
        <f>DESDYNI!J5</f>
        <v>0.24</v>
      </c>
      <c r="E5" s="71">
        <f>DESDYNI!K5</f>
        <v>0.12021</v>
      </c>
      <c r="F5" s="71">
        <f>DESDYNI!L5</f>
        <v>3.4259259259259302E-2</v>
      </c>
      <c r="G5" s="71">
        <f>DESDYNI!M5</f>
        <v>0.25284000000000001</v>
      </c>
      <c r="H5" s="71">
        <f t="shared" si="0"/>
        <v>0.14887282932098775</v>
      </c>
      <c r="I5" s="71">
        <f>SUMPRODUCT(B5:G5,ASCENDS!$H$2:$M$2)</f>
        <v>0.14971052741111116</v>
      </c>
      <c r="J5" s="72">
        <v>700</v>
      </c>
      <c r="K5" s="73">
        <v>1680</v>
      </c>
      <c r="L5" s="74">
        <v>4</v>
      </c>
      <c r="M5" s="82">
        <f t="shared" si="1"/>
        <v>5</v>
      </c>
      <c r="N5" s="82"/>
    </row>
    <row r="6" spans="1:20" x14ac:dyDescent="0.25">
      <c r="A6" s="69" t="s">
        <v>338</v>
      </c>
      <c r="B6" s="71">
        <f>GPSRO!H5</f>
        <v>0.1923</v>
      </c>
      <c r="C6" s="71">
        <f>GPSRO!I5</f>
        <v>8.8249999999999995E-2</v>
      </c>
      <c r="D6" s="71">
        <f>GPSRO!J5</f>
        <v>0</v>
      </c>
      <c r="E6" s="71">
        <f>GPSRO!K5</f>
        <v>3.1824999999999999E-2</v>
      </c>
      <c r="F6" s="71">
        <f>GPSRO!L5</f>
        <v>0</v>
      </c>
      <c r="G6" s="71">
        <f>GPSRO!M5</f>
        <v>0</v>
      </c>
      <c r="H6" s="71">
        <f t="shared" si="0"/>
        <v>5.2062499999999991E-2</v>
      </c>
      <c r="I6" s="71">
        <f>SUMPRODUCT(B6:G6,ASCENDS!$H$2:$M$2)</f>
        <v>6.4296400000000004E-2</v>
      </c>
      <c r="J6" s="72">
        <v>150</v>
      </c>
      <c r="K6" s="72">
        <v>155</v>
      </c>
      <c r="L6" s="74">
        <v>5</v>
      </c>
      <c r="M6" s="82">
        <f t="shared" si="1"/>
        <v>3</v>
      </c>
      <c r="N6" s="82"/>
    </row>
    <row r="7" spans="1:20" x14ac:dyDescent="0.25">
      <c r="A7" s="69" t="s">
        <v>70</v>
      </c>
      <c r="B7" s="71">
        <f>HYSPIRI!H3</f>
        <v>9.6166666666666692E-3</v>
      </c>
      <c r="C7" s="71">
        <f>HYSPIRI!I3</f>
        <v>8.2354999999999998E-2</v>
      </c>
      <c r="D7" s="71">
        <f>HYSPIRI!J3</f>
        <v>0.28000000000000003</v>
      </c>
      <c r="E7" s="71">
        <f>HYSPIRI!K3</f>
        <v>0.10337499999999999</v>
      </c>
      <c r="F7" s="71">
        <f>HYSPIRI!L3</f>
        <v>0.234953703703704</v>
      </c>
      <c r="G7" s="71">
        <f>HYSPIRI!M3</f>
        <v>0.24759999999999999</v>
      </c>
      <c r="H7" s="71">
        <f t="shared" si="0"/>
        <v>0.15965006172839513</v>
      </c>
      <c r="I7" s="71">
        <f>SUMPRODUCT(B7:G7,ASCENDS!$H$2:$M$2)</f>
        <v>0.14540265777777781</v>
      </c>
      <c r="J7" s="72">
        <v>300</v>
      </c>
      <c r="K7" s="73">
        <v>452</v>
      </c>
      <c r="L7" s="74">
        <v>6</v>
      </c>
      <c r="M7" s="82">
        <f t="shared" si="1"/>
        <v>6</v>
      </c>
      <c r="N7" s="82"/>
    </row>
    <row r="8" spans="1:20" x14ac:dyDescent="0.25">
      <c r="A8" s="69" t="s">
        <v>316</v>
      </c>
      <c r="B8" s="71">
        <f>ASCENDS!H5</f>
        <v>0</v>
      </c>
      <c r="C8" s="71">
        <f>ASCENDS!I5</f>
        <v>0</v>
      </c>
      <c r="D8" s="71">
        <f>ASCENDS!J5</f>
        <v>0.2</v>
      </c>
      <c r="E8" s="71">
        <f>ASCENDS!K5</f>
        <v>0</v>
      </c>
      <c r="F8" s="71">
        <f>ASCENDS!L5</f>
        <v>6.875E-3</v>
      </c>
      <c r="G8" s="71">
        <f>ASCENDS!M5</f>
        <v>0</v>
      </c>
      <c r="H8" s="71">
        <f t="shared" si="0"/>
        <v>3.4479166666666665E-2</v>
      </c>
      <c r="I8" s="71">
        <f>SUMPRODUCT(B8:G8,ASCENDS!$H$2:$M$2)</f>
        <v>4.1963125000000004E-2</v>
      </c>
      <c r="J8" s="72">
        <v>400</v>
      </c>
      <c r="K8" s="73">
        <v>500</v>
      </c>
      <c r="L8" s="74">
        <v>7</v>
      </c>
      <c r="M8" s="82">
        <f t="shared" si="1"/>
        <v>2</v>
      </c>
      <c r="N8" s="82"/>
    </row>
    <row r="9" spans="1:20" x14ac:dyDescent="0.25">
      <c r="A9" s="69" t="s">
        <v>317</v>
      </c>
      <c r="B9" s="71">
        <f>SWOT!H5</f>
        <v>0</v>
      </c>
      <c r="C9" s="71">
        <f>SWOT!I5</f>
        <v>5.5282999999999999E-2</v>
      </c>
      <c r="D9" s="71">
        <f>SWOT!J5</f>
        <v>3.168E-2</v>
      </c>
      <c r="E9" s="71">
        <f>SWOT!K5</f>
        <v>0.38440000000000002</v>
      </c>
      <c r="F9" s="71">
        <f>SWOT!L5</f>
        <v>0</v>
      </c>
      <c r="G9" s="71">
        <f>SWOT!M5</f>
        <v>0.34763333333333302</v>
      </c>
      <c r="H9" s="71">
        <f t="shared" si="0"/>
        <v>0.13649938888888882</v>
      </c>
      <c r="I9" s="71">
        <f>SUMPRODUCT(B9:G9,ASCENDS!$H$2:$M$2)</f>
        <v>0.11507754466666663</v>
      </c>
      <c r="J9" s="72">
        <v>450</v>
      </c>
      <c r="K9" s="73">
        <v>800</v>
      </c>
      <c r="L9" s="74">
        <v>8</v>
      </c>
      <c r="M9" s="82">
        <f t="shared" si="1"/>
        <v>4</v>
      </c>
      <c r="N9" s="82"/>
    </row>
    <row r="10" spans="1:20" x14ac:dyDescent="0.25">
      <c r="A10" s="69" t="s">
        <v>318</v>
      </c>
      <c r="B10" s="71">
        <f>'GEO-CAPE'!H5</f>
        <v>0.13671111111111101</v>
      </c>
      <c r="C10" s="71">
        <f>'GEO-CAPE'!I5</f>
        <v>0</v>
      </c>
      <c r="D10" s="71">
        <f>'GEO-CAPE'!J5</f>
        <v>0.12</v>
      </c>
      <c r="E10" s="71">
        <f>'GEO-CAPE'!K5</f>
        <v>3.5999999999999997E-2</v>
      </c>
      <c r="F10" s="71">
        <f>'GEO-CAPE'!L5</f>
        <v>0.27395833333333303</v>
      </c>
      <c r="G10" s="71">
        <f>'GEO-CAPE'!M5</f>
        <v>0</v>
      </c>
      <c r="H10" s="71">
        <f t="shared" si="0"/>
        <v>9.4444907407407339E-2</v>
      </c>
      <c r="I10" s="71">
        <f>SUMPRODUCT(B10:G10,ASCENDS!$H$2:$M$2)</f>
        <v>9.0001552777777716E-2</v>
      </c>
      <c r="J10" s="72">
        <v>550</v>
      </c>
      <c r="K10" s="73">
        <v>1276</v>
      </c>
      <c r="L10" s="74">
        <v>9</v>
      </c>
      <c r="M10" s="82">
        <f t="shared" si="1"/>
        <v>4</v>
      </c>
      <c r="N10" s="82"/>
    </row>
    <row r="11" spans="1:20" x14ac:dyDescent="0.25">
      <c r="A11" s="69" t="s">
        <v>324</v>
      </c>
      <c r="B11" s="71">
        <f>ACE!H5</f>
        <v>0.15249118095238101</v>
      </c>
      <c r="C11" s="71">
        <f>ACE!I5</f>
        <v>0.31020383333333301</v>
      </c>
      <c r="D11" s="71">
        <f>ACE!J5</f>
        <v>0.16800000000000001</v>
      </c>
      <c r="E11" s="71">
        <f>ACE!K5</f>
        <v>0</v>
      </c>
      <c r="F11" s="71">
        <f>ACE!L5</f>
        <v>7.7921296296296294E-2</v>
      </c>
      <c r="G11" s="71">
        <f>ACE!M5</f>
        <v>0</v>
      </c>
      <c r="H11" s="71">
        <f t="shared" si="0"/>
        <v>0.11810271843033505</v>
      </c>
      <c r="I11" s="71">
        <f>SUMPRODUCT(B11:G11,ASCENDS!$H$2:$M$2)</f>
        <v>0.13979236627936503</v>
      </c>
      <c r="J11" s="72">
        <v>800</v>
      </c>
      <c r="K11" s="73">
        <v>1628</v>
      </c>
      <c r="L11" s="74">
        <v>10</v>
      </c>
      <c r="M11" s="82">
        <f t="shared" si="1"/>
        <v>4</v>
      </c>
      <c r="N11" s="82"/>
    </row>
    <row r="12" spans="1:20" x14ac:dyDescent="0.25">
      <c r="A12" s="69" t="s">
        <v>339</v>
      </c>
      <c r="B12" s="71">
        <f>XOVWM!H5</f>
        <v>0</v>
      </c>
      <c r="C12" s="71">
        <f>XOVWM!I5</f>
        <v>6.6564899999999996E-2</v>
      </c>
      <c r="D12" s="71">
        <f>XOVWM!J5</f>
        <v>0</v>
      </c>
      <c r="E12" s="71">
        <f>XOVWM!K5</f>
        <v>6.5174999999999999E-3</v>
      </c>
      <c r="F12" s="71">
        <f>XOVWM!L5</f>
        <v>0</v>
      </c>
      <c r="G12" s="71">
        <f>XOVWM!M5</f>
        <v>0</v>
      </c>
      <c r="H12" s="71">
        <f t="shared" si="0"/>
        <v>1.2180399999999999E-2</v>
      </c>
      <c r="I12" s="71">
        <f>SUMPRODUCT(B12:G12,ASCENDS!$H$2:$M$2)</f>
        <v>1.4729099399999999E-2</v>
      </c>
      <c r="J12" s="72">
        <v>350</v>
      </c>
      <c r="K12" s="72">
        <v>361</v>
      </c>
      <c r="L12" s="74">
        <v>11</v>
      </c>
      <c r="M12" s="82">
        <f t="shared" si="1"/>
        <v>2</v>
      </c>
      <c r="N12" s="82"/>
    </row>
    <row r="13" spans="1:20" x14ac:dyDescent="0.25">
      <c r="A13" s="69" t="s">
        <v>334</v>
      </c>
      <c r="B13" s="71">
        <f>PATH!H5</f>
        <v>0.1154</v>
      </c>
      <c r="C13" s="71">
        <f>PATH!I5</f>
        <v>0</v>
      </c>
      <c r="D13" s="71">
        <f>PATH!J5</f>
        <v>0</v>
      </c>
      <c r="E13" s="71">
        <f>PATH!K5</f>
        <v>0</v>
      </c>
      <c r="F13" s="71">
        <f>PATH!L5</f>
        <v>2.7777777777777801E-2</v>
      </c>
      <c r="G13" s="71">
        <f>PATH!M5</f>
        <v>0</v>
      </c>
      <c r="H13" s="71">
        <f t="shared" si="0"/>
        <v>2.3862962962962964E-2</v>
      </c>
      <c r="I13" s="71">
        <f>SUMPRODUCT(B13:G13,ASCENDS!$H$2:$M$2)</f>
        <v>2.7778933333333339E-2</v>
      </c>
      <c r="J13" s="72">
        <v>450</v>
      </c>
      <c r="K13" s="75">
        <v>521</v>
      </c>
      <c r="L13" s="74">
        <v>12</v>
      </c>
      <c r="M13" s="82">
        <f t="shared" si="1"/>
        <v>2</v>
      </c>
      <c r="N13" s="82"/>
    </row>
    <row r="14" spans="1:20" x14ac:dyDescent="0.25">
      <c r="A14" s="69" t="s">
        <v>335</v>
      </c>
      <c r="B14" s="71">
        <f>SCLP!H5</f>
        <v>0</v>
      </c>
      <c r="C14" s="71">
        <f>SCLP!I5</f>
        <v>7.8408333333333302E-2</v>
      </c>
      <c r="D14" s="71">
        <f>SCLP!J5</f>
        <v>0</v>
      </c>
      <c r="E14" s="71">
        <f>SCLP!K5</f>
        <v>0.2019</v>
      </c>
      <c r="F14" s="71">
        <f>SCLP!L5</f>
        <v>0</v>
      </c>
      <c r="G14" s="71">
        <f>SCLP!M5</f>
        <v>5.2740000000000002E-2</v>
      </c>
      <c r="H14" s="71">
        <f t="shared" si="0"/>
        <v>5.5508055555555547E-2</v>
      </c>
      <c r="I14" s="71">
        <f>SUMPRODUCT(B14:G14,ASCENDS!$H$2:$M$2)</f>
        <v>5.3291696666666659E-2</v>
      </c>
      <c r="J14" s="72">
        <v>500</v>
      </c>
      <c r="K14" s="75">
        <v>512</v>
      </c>
      <c r="L14" s="74">
        <v>13</v>
      </c>
      <c r="M14" s="82">
        <f t="shared" si="1"/>
        <v>3</v>
      </c>
      <c r="N14" s="82"/>
    </row>
    <row r="15" spans="1:20" x14ac:dyDescent="0.25">
      <c r="A15" s="69" t="s">
        <v>336</v>
      </c>
      <c r="B15" s="71">
        <f>GACM!H5</f>
        <v>0.16480707142857101</v>
      </c>
      <c r="C15" s="71">
        <f>GACM!I5</f>
        <v>0.10294375</v>
      </c>
      <c r="D15" s="71">
        <f>GACM!J5</f>
        <v>0.14799999999999999</v>
      </c>
      <c r="E15" s="71">
        <f>GACM!K5</f>
        <v>0</v>
      </c>
      <c r="F15" s="71">
        <f>GACM!L5</f>
        <v>0.27718749999999998</v>
      </c>
      <c r="G15" s="71">
        <f>GACM!M5</f>
        <v>0</v>
      </c>
      <c r="H15" s="71">
        <f t="shared" si="0"/>
        <v>0.11548972023809516</v>
      </c>
      <c r="I15" s="71">
        <f>SUMPRODUCT(B15:G15,ASCENDS!$H$2:$M$2)</f>
        <v>0.11773093828571418</v>
      </c>
      <c r="J15" s="72">
        <v>600</v>
      </c>
      <c r="K15" s="75">
        <v>1037</v>
      </c>
      <c r="L15" s="74">
        <v>14</v>
      </c>
      <c r="M15" s="82">
        <f t="shared" si="1"/>
        <v>4</v>
      </c>
      <c r="N15" s="82"/>
    </row>
    <row r="16" spans="1:20" x14ac:dyDescent="0.25">
      <c r="A16" s="69" t="s">
        <v>361</v>
      </c>
      <c r="B16" s="71">
        <f>'3DWINDS'!H5</f>
        <v>0</v>
      </c>
      <c r="C16" s="71">
        <f>'3DWINDS'!I5</f>
        <v>0</v>
      </c>
      <c r="D16" s="71">
        <f>'3DWINDS'!J5</f>
        <v>0</v>
      </c>
      <c r="E16" s="71">
        <f>'3DWINDS'!K5</f>
        <v>0</v>
      </c>
      <c r="F16" s="71">
        <f>'3DWINDS'!L5</f>
        <v>9.2592592592592605E-3</v>
      </c>
      <c r="G16" s="71">
        <f>'3DWINDS'!M5</f>
        <v>0</v>
      </c>
      <c r="H16" s="71">
        <f t="shared" si="0"/>
        <v>1.54320987654321E-3</v>
      </c>
      <c r="I16" s="71">
        <f>SUMPRODUCT(B16:G16,ASCENDS!$H$2:$M$2)</f>
        <v>1.0277777777777778E-3</v>
      </c>
      <c r="J16" s="72">
        <v>650</v>
      </c>
      <c r="K16" s="75">
        <v>798</v>
      </c>
      <c r="L16" s="74">
        <v>15</v>
      </c>
      <c r="M16" s="82">
        <f t="shared" si="1"/>
        <v>1</v>
      </c>
      <c r="N16" s="82"/>
    </row>
    <row r="17" spans="1:14" x14ac:dyDescent="0.25">
      <c r="A17" s="69" t="s">
        <v>327</v>
      </c>
      <c r="B17" s="71">
        <f>'GRACE-II'!H5</f>
        <v>0</v>
      </c>
      <c r="C17" s="71">
        <f>'GRACE-II'!I5</f>
        <v>2.9399999999999999E-2</v>
      </c>
      <c r="D17" s="71">
        <f>'GRACE-II'!J5</f>
        <v>0</v>
      </c>
      <c r="E17" s="71">
        <f>'GRACE-II'!K5</f>
        <v>0.1225</v>
      </c>
      <c r="F17" s="71">
        <f>'GRACE-II'!L5</f>
        <v>0</v>
      </c>
      <c r="G17" s="71">
        <f>'GRACE-II'!M5</f>
        <v>0.28599999999999998</v>
      </c>
      <c r="H17" s="71">
        <f t="shared" si="0"/>
        <v>7.2983333333333331E-2</v>
      </c>
      <c r="I17" s="71">
        <f>SUMPRODUCT(B17:G17,ASCENDS!$H$2:$M$2)</f>
        <v>5.5768399999999996E-2</v>
      </c>
      <c r="J17" s="72">
        <v>450</v>
      </c>
      <c r="K17" s="73">
        <v>471</v>
      </c>
      <c r="L17" s="74">
        <v>16</v>
      </c>
      <c r="M17" s="82">
        <f t="shared" si="1"/>
        <v>3</v>
      </c>
      <c r="N17" s="82"/>
    </row>
    <row r="18" spans="1:14" ht="15.75" thickBot="1" x14ac:dyDescent="0.3">
      <c r="A18" s="70" t="s">
        <v>333</v>
      </c>
      <c r="B18" s="76">
        <f>LIST!H5</f>
        <v>0</v>
      </c>
      <c r="C18" s="76">
        <f>LIST!I5</f>
        <v>3.9216666666666698E-2</v>
      </c>
      <c r="D18" s="76">
        <f>LIST!J5</f>
        <v>9.6000000000000002E-2</v>
      </c>
      <c r="E18" s="76">
        <f>LIST!K5</f>
        <v>2.1000000000000001E-2</v>
      </c>
      <c r="F18" s="76">
        <f>LIST!L5</f>
        <v>0</v>
      </c>
      <c r="G18" s="76">
        <f>LIST!M5</f>
        <v>0.17583333333333301</v>
      </c>
      <c r="H18" s="76">
        <f t="shared" si="0"/>
        <v>5.5341666666666622E-2</v>
      </c>
      <c r="I18" s="76">
        <f>SUMPRODUCT(B18:G18,ASCENDS!$H$2:$M$2)</f>
        <v>4.994479999999997E-2</v>
      </c>
      <c r="J18" s="77">
        <v>300</v>
      </c>
      <c r="K18" s="78">
        <v>610</v>
      </c>
      <c r="L18" s="79">
        <v>17</v>
      </c>
      <c r="M18" s="82">
        <f t="shared" si="1"/>
        <v>4</v>
      </c>
      <c r="N18" s="82"/>
    </row>
    <row r="21" spans="1:14" x14ac:dyDescent="0.25">
      <c r="A21" s="64" t="s">
        <v>362</v>
      </c>
    </row>
    <row r="22" spans="1:14" ht="15.75" thickBot="1" x14ac:dyDescent="0.3"/>
    <row r="23" spans="1:14" ht="30" x14ac:dyDescent="0.25">
      <c r="A23" s="68" t="s">
        <v>69</v>
      </c>
      <c r="B23" s="65" t="s">
        <v>58</v>
      </c>
      <c r="C23" s="65" t="s">
        <v>59</v>
      </c>
      <c r="D23" s="65" t="s">
        <v>60</v>
      </c>
      <c r="E23" s="65" t="s">
        <v>61</v>
      </c>
      <c r="F23" s="65" t="s">
        <v>62</v>
      </c>
      <c r="G23" s="65" t="s">
        <v>63</v>
      </c>
      <c r="H23" s="65" t="s">
        <v>64</v>
      </c>
      <c r="I23" s="65" t="s">
        <v>65</v>
      </c>
      <c r="J23" s="66" t="s">
        <v>363</v>
      </c>
      <c r="K23" s="66" t="s">
        <v>364</v>
      </c>
      <c r="L23" s="67" t="s">
        <v>365</v>
      </c>
      <c r="M23" s="81"/>
      <c r="N23" s="81"/>
    </row>
    <row r="24" spans="1:14" x14ac:dyDescent="0.25">
      <c r="A24" s="69" t="s">
        <v>328</v>
      </c>
      <c r="B24" s="71">
        <v>0</v>
      </c>
      <c r="C24" s="71">
        <v>0.24592771666666699</v>
      </c>
      <c r="D24" s="71">
        <v>0.24</v>
      </c>
      <c r="E24" s="71">
        <v>0.12021</v>
      </c>
      <c r="F24" s="71">
        <v>3.4259259259259302E-2</v>
      </c>
      <c r="G24" s="71">
        <v>0.25284000000000001</v>
      </c>
      <c r="H24" s="71">
        <v>0.14887282932098775</v>
      </c>
      <c r="I24" s="71">
        <v>0.14971052741111116</v>
      </c>
      <c r="J24" s="72">
        <v>700</v>
      </c>
      <c r="K24" s="75">
        <v>1680</v>
      </c>
      <c r="L24" s="74">
        <v>4</v>
      </c>
      <c r="M24" s="82"/>
      <c r="N24" s="82"/>
    </row>
    <row r="25" spans="1:14" x14ac:dyDescent="0.25">
      <c r="A25" s="69" t="s">
        <v>70</v>
      </c>
      <c r="B25" s="71">
        <v>9.6166666666666692E-3</v>
      </c>
      <c r="C25" s="71">
        <v>8.2354999999999998E-2</v>
      </c>
      <c r="D25" s="71">
        <v>0.28000000000000003</v>
      </c>
      <c r="E25" s="71">
        <v>0.10337499999999999</v>
      </c>
      <c r="F25" s="71">
        <v>0.234953703703704</v>
      </c>
      <c r="G25" s="71">
        <v>0.24759999999999999</v>
      </c>
      <c r="H25" s="71">
        <v>0.15965006172839513</v>
      </c>
      <c r="I25" s="71">
        <v>0.14540265777777781</v>
      </c>
      <c r="J25" s="72">
        <v>300</v>
      </c>
      <c r="K25" s="73">
        <v>452</v>
      </c>
      <c r="L25" s="74">
        <v>6</v>
      </c>
      <c r="M25" s="82"/>
      <c r="N25" s="82"/>
    </row>
    <row r="26" spans="1:14" x14ac:dyDescent="0.25">
      <c r="A26" s="69" t="s">
        <v>324</v>
      </c>
      <c r="B26" s="71">
        <v>0.15249118095238101</v>
      </c>
      <c r="C26" s="71">
        <v>0.31020383333333301</v>
      </c>
      <c r="D26" s="71">
        <v>0.16800000000000001</v>
      </c>
      <c r="E26" s="71">
        <v>0</v>
      </c>
      <c r="F26" s="71">
        <v>7.7921296296296294E-2</v>
      </c>
      <c r="G26" s="71">
        <v>0</v>
      </c>
      <c r="H26" s="71">
        <v>0.11810271843033505</v>
      </c>
      <c r="I26" s="71">
        <v>0.13979236627936503</v>
      </c>
      <c r="J26" s="72">
        <v>800</v>
      </c>
      <c r="K26" s="75">
        <v>1628</v>
      </c>
      <c r="L26" s="74">
        <v>10</v>
      </c>
      <c r="M26" s="82"/>
      <c r="N26" s="82"/>
    </row>
    <row r="27" spans="1:14" x14ac:dyDescent="0.25">
      <c r="A27" s="69" t="s">
        <v>336</v>
      </c>
      <c r="B27" s="71">
        <v>0.16480707142857101</v>
      </c>
      <c r="C27" s="71">
        <v>0.10294375</v>
      </c>
      <c r="D27" s="71">
        <v>0.14799999999999999</v>
      </c>
      <c r="E27" s="71">
        <v>0</v>
      </c>
      <c r="F27" s="71">
        <v>0.27718749999999998</v>
      </c>
      <c r="G27" s="71">
        <v>0</v>
      </c>
      <c r="H27" s="71">
        <v>0.11548972023809516</v>
      </c>
      <c r="I27" s="71">
        <v>0.11773093828571418</v>
      </c>
      <c r="J27" s="72">
        <v>600</v>
      </c>
      <c r="K27" s="73">
        <v>1037</v>
      </c>
      <c r="L27" s="74">
        <v>14</v>
      </c>
      <c r="M27" s="82"/>
      <c r="N27" s="82"/>
    </row>
    <row r="28" spans="1:14" x14ac:dyDescent="0.25">
      <c r="A28" s="69" t="s">
        <v>317</v>
      </c>
      <c r="B28" s="71">
        <v>0</v>
      </c>
      <c r="C28" s="71">
        <v>5.5282999999999999E-2</v>
      </c>
      <c r="D28" s="71">
        <v>3.168E-2</v>
      </c>
      <c r="E28" s="71">
        <v>0.38440000000000002</v>
      </c>
      <c r="F28" s="71">
        <v>0</v>
      </c>
      <c r="G28" s="71">
        <v>0.34763333333333302</v>
      </c>
      <c r="H28" s="71">
        <v>0.13649938888888882</v>
      </c>
      <c r="I28" s="71">
        <v>0.11507754466666663</v>
      </c>
      <c r="J28" s="72">
        <v>450</v>
      </c>
      <c r="K28" s="73">
        <v>800</v>
      </c>
      <c r="L28" s="74">
        <v>8</v>
      </c>
      <c r="M28" s="82"/>
      <c r="N28" s="82"/>
    </row>
    <row r="29" spans="1:14" x14ac:dyDescent="0.25">
      <c r="A29" s="69" t="s">
        <v>318</v>
      </c>
      <c r="B29" s="71">
        <v>0.13671111111111101</v>
      </c>
      <c r="C29" s="71">
        <v>0</v>
      </c>
      <c r="D29" s="71">
        <v>0.12</v>
      </c>
      <c r="E29" s="71">
        <v>3.5999999999999997E-2</v>
      </c>
      <c r="F29" s="71">
        <v>0.27395833333333303</v>
      </c>
      <c r="G29" s="71">
        <v>0</v>
      </c>
      <c r="H29" s="71">
        <v>9.4444907407407339E-2</v>
      </c>
      <c r="I29" s="71">
        <v>9.0001552777777716E-2</v>
      </c>
      <c r="J29" s="72">
        <v>550</v>
      </c>
      <c r="K29" s="75">
        <v>1276</v>
      </c>
      <c r="L29" s="74">
        <v>9</v>
      </c>
      <c r="M29" s="82"/>
      <c r="N29" s="82"/>
    </row>
    <row r="30" spans="1:14" x14ac:dyDescent="0.25">
      <c r="A30" s="69" t="s">
        <v>319</v>
      </c>
      <c r="B30" s="71">
        <v>1.4425E-2</v>
      </c>
      <c r="C30" s="71">
        <v>0.17647499999999999</v>
      </c>
      <c r="D30" s="71">
        <v>0.14399999999999999</v>
      </c>
      <c r="E30" s="71">
        <v>5.9249999999999997E-2</v>
      </c>
      <c r="F30" s="71">
        <v>1.38888888888889E-2</v>
      </c>
      <c r="G30" s="71">
        <v>8.1240000000000007E-2</v>
      </c>
      <c r="H30" s="71">
        <v>8.1546481481481484E-2</v>
      </c>
      <c r="I30" s="71">
        <v>8.8582146666666667E-2</v>
      </c>
      <c r="J30" s="72">
        <v>300</v>
      </c>
      <c r="K30" s="73">
        <v>607</v>
      </c>
      <c r="L30" s="74">
        <v>3</v>
      </c>
      <c r="M30" s="82"/>
      <c r="N30" s="82"/>
    </row>
    <row r="31" spans="1:14" x14ac:dyDescent="0.25">
      <c r="A31" s="69" t="s">
        <v>338</v>
      </c>
      <c r="B31" s="71">
        <v>0.1923</v>
      </c>
      <c r="C31" s="71">
        <v>8.8249999999999995E-2</v>
      </c>
      <c r="D31" s="71">
        <v>0</v>
      </c>
      <c r="E31" s="71">
        <v>3.1824999999999999E-2</v>
      </c>
      <c r="F31" s="71">
        <v>0</v>
      </c>
      <c r="G31" s="71">
        <v>0</v>
      </c>
      <c r="H31" s="71">
        <v>5.2062499999999991E-2</v>
      </c>
      <c r="I31" s="71">
        <v>6.4296400000000004E-2</v>
      </c>
      <c r="J31" s="72">
        <v>150</v>
      </c>
      <c r="K31" s="72">
        <v>155</v>
      </c>
      <c r="L31" s="74">
        <v>5</v>
      </c>
      <c r="M31" s="82"/>
      <c r="N31" s="82"/>
    </row>
    <row r="32" spans="1:14" x14ac:dyDescent="0.25">
      <c r="A32" s="69" t="s">
        <v>327</v>
      </c>
      <c r="B32" s="71">
        <v>0</v>
      </c>
      <c r="C32" s="71">
        <v>2.9399999999999999E-2</v>
      </c>
      <c r="D32" s="71">
        <v>0</v>
      </c>
      <c r="E32" s="71">
        <v>0.1225</v>
      </c>
      <c r="F32" s="71">
        <v>0</v>
      </c>
      <c r="G32" s="71">
        <v>0.28599999999999998</v>
      </c>
      <c r="H32" s="71">
        <v>7.2983333333333331E-2</v>
      </c>
      <c r="I32" s="71">
        <v>5.5768399999999996E-2</v>
      </c>
      <c r="J32" s="72">
        <v>450</v>
      </c>
      <c r="K32" s="73">
        <v>471</v>
      </c>
      <c r="L32" s="74">
        <v>16</v>
      </c>
      <c r="M32" s="82"/>
      <c r="N32" s="82"/>
    </row>
    <row r="33" spans="1:14" x14ac:dyDescent="0.25">
      <c r="A33" s="69" t="s">
        <v>315</v>
      </c>
      <c r="B33" s="71">
        <v>0</v>
      </c>
      <c r="C33" s="71">
        <v>9.9959999999999997E-3</v>
      </c>
      <c r="D33" s="71">
        <v>0</v>
      </c>
      <c r="E33" s="71">
        <v>0.28699999999999998</v>
      </c>
      <c r="F33" s="71">
        <v>6.0185185185185203E-2</v>
      </c>
      <c r="G33" s="71">
        <v>0</v>
      </c>
      <c r="H33" s="71">
        <v>5.9530197530864193E-2</v>
      </c>
      <c r="I33" s="71">
        <v>5.351173155555556E-2</v>
      </c>
      <c r="J33" s="72">
        <v>300</v>
      </c>
      <c r="K33" s="73">
        <v>394</v>
      </c>
      <c r="L33" s="74">
        <v>2</v>
      </c>
      <c r="M33" s="82"/>
      <c r="N33" s="82"/>
    </row>
    <row r="34" spans="1:14" x14ac:dyDescent="0.25">
      <c r="A34" s="69" t="s">
        <v>335</v>
      </c>
      <c r="B34" s="71">
        <v>0</v>
      </c>
      <c r="C34" s="71">
        <v>7.8408333333333302E-2</v>
      </c>
      <c r="D34" s="71">
        <v>0</v>
      </c>
      <c r="E34" s="71">
        <v>0.2019</v>
      </c>
      <c r="F34" s="71">
        <v>0</v>
      </c>
      <c r="G34" s="71">
        <v>5.2740000000000002E-2</v>
      </c>
      <c r="H34" s="71">
        <v>5.5508055555555547E-2</v>
      </c>
      <c r="I34" s="71">
        <v>5.3291696666666659E-2</v>
      </c>
      <c r="J34" s="72">
        <v>500</v>
      </c>
      <c r="K34" s="72">
        <v>512</v>
      </c>
      <c r="L34" s="74">
        <v>13</v>
      </c>
      <c r="M34" s="82"/>
      <c r="N34" s="82"/>
    </row>
    <row r="35" spans="1:14" x14ac:dyDescent="0.25">
      <c r="A35" s="69" t="s">
        <v>314</v>
      </c>
      <c r="B35" s="71">
        <v>9.6149999999999999E-2</v>
      </c>
      <c r="C35" s="71">
        <v>0.14708333333333301</v>
      </c>
      <c r="D35" s="71">
        <v>0</v>
      </c>
      <c r="E35" s="71">
        <v>0</v>
      </c>
      <c r="F35" s="71">
        <v>0</v>
      </c>
      <c r="G35" s="71">
        <v>0</v>
      </c>
      <c r="H35" s="71">
        <v>4.053888888888884E-2</v>
      </c>
      <c r="I35" s="71">
        <v>5.0875266666666599E-2</v>
      </c>
      <c r="J35" s="72">
        <v>200</v>
      </c>
      <c r="K35" s="75">
        <v>600</v>
      </c>
      <c r="L35" s="74">
        <v>1</v>
      </c>
      <c r="M35" s="82"/>
      <c r="N35" s="82"/>
    </row>
    <row r="36" spans="1:14" x14ac:dyDescent="0.25">
      <c r="A36" s="69" t="s">
        <v>333</v>
      </c>
      <c r="B36" s="71">
        <v>0</v>
      </c>
      <c r="C36" s="71">
        <v>3.9216666666666698E-2</v>
      </c>
      <c r="D36" s="71">
        <v>9.6000000000000002E-2</v>
      </c>
      <c r="E36" s="71">
        <v>2.1000000000000001E-2</v>
      </c>
      <c r="F36" s="71">
        <v>0</v>
      </c>
      <c r="G36" s="71">
        <v>0.17583333333333301</v>
      </c>
      <c r="H36" s="71">
        <v>5.5341666666666622E-2</v>
      </c>
      <c r="I36" s="71">
        <v>4.994479999999997E-2</v>
      </c>
      <c r="J36" s="72">
        <v>300</v>
      </c>
      <c r="K36" s="73">
        <v>610</v>
      </c>
      <c r="L36" s="74">
        <v>17</v>
      </c>
      <c r="M36" s="82"/>
      <c r="N36" s="82"/>
    </row>
    <row r="37" spans="1:14" x14ac:dyDescent="0.25">
      <c r="A37" s="69" t="s">
        <v>316</v>
      </c>
      <c r="B37" s="71">
        <v>0</v>
      </c>
      <c r="C37" s="71">
        <v>0</v>
      </c>
      <c r="D37" s="71">
        <v>0.2</v>
      </c>
      <c r="E37" s="71">
        <v>0</v>
      </c>
      <c r="F37" s="71">
        <v>6.875E-3</v>
      </c>
      <c r="G37" s="71">
        <v>0</v>
      </c>
      <c r="H37" s="71">
        <v>3.4479166666666665E-2</v>
      </c>
      <c r="I37" s="71">
        <v>4.1963125000000004E-2</v>
      </c>
      <c r="J37" s="72">
        <v>400</v>
      </c>
      <c r="K37" s="73">
        <v>500</v>
      </c>
      <c r="L37" s="74">
        <v>7</v>
      </c>
      <c r="M37" s="82"/>
      <c r="N37" s="82"/>
    </row>
    <row r="38" spans="1:14" x14ac:dyDescent="0.25">
      <c r="A38" s="69" t="s">
        <v>334</v>
      </c>
      <c r="B38" s="71">
        <v>0.1154</v>
      </c>
      <c r="C38" s="71">
        <v>0</v>
      </c>
      <c r="D38" s="71">
        <v>0</v>
      </c>
      <c r="E38" s="71">
        <v>0</v>
      </c>
      <c r="F38" s="71">
        <v>2.7777777777777801E-2</v>
      </c>
      <c r="G38" s="71">
        <v>0</v>
      </c>
      <c r="H38" s="71">
        <v>2.3862962962962964E-2</v>
      </c>
      <c r="I38" s="71">
        <v>2.7778933333333339E-2</v>
      </c>
      <c r="J38" s="72">
        <v>450</v>
      </c>
      <c r="K38" s="73">
        <v>521</v>
      </c>
      <c r="L38" s="74">
        <v>12</v>
      </c>
      <c r="M38" s="82"/>
      <c r="N38" s="82"/>
    </row>
    <row r="39" spans="1:14" x14ac:dyDescent="0.25">
      <c r="A39" s="69" t="s">
        <v>339</v>
      </c>
      <c r="B39" s="71">
        <v>0</v>
      </c>
      <c r="C39" s="71">
        <v>6.6564899999999996E-2</v>
      </c>
      <c r="D39" s="71">
        <v>0</v>
      </c>
      <c r="E39" s="71">
        <v>6.5174999999999999E-3</v>
      </c>
      <c r="F39" s="71">
        <v>0</v>
      </c>
      <c r="G39" s="71">
        <v>0</v>
      </c>
      <c r="H39" s="71">
        <v>1.2180399999999999E-2</v>
      </c>
      <c r="I39" s="71">
        <v>1.4729099399999999E-2</v>
      </c>
      <c r="J39" s="72">
        <v>350</v>
      </c>
      <c r="K39" s="73">
        <v>361</v>
      </c>
      <c r="L39" s="74">
        <v>11</v>
      </c>
      <c r="M39" s="82"/>
      <c r="N39" s="82"/>
    </row>
    <row r="40" spans="1:14" ht="15.75" thickBot="1" x14ac:dyDescent="0.3">
      <c r="A40" s="70" t="s">
        <v>361</v>
      </c>
      <c r="B40" s="76">
        <v>0</v>
      </c>
      <c r="C40" s="76">
        <v>0</v>
      </c>
      <c r="D40" s="76">
        <v>0</v>
      </c>
      <c r="E40" s="76">
        <v>0</v>
      </c>
      <c r="F40" s="76">
        <v>9.2592592592592605E-3</v>
      </c>
      <c r="G40" s="76">
        <v>0</v>
      </c>
      <c r="H40" s="76">
        <v>1.54320987654321E-3</v>
      </c>
      <c r="I40" s="76">
        <v>1.0277777777777778E-3</v>
      </c>
      <c r="J40" s="77">
        <v>650</v>
      </c>
      <c r="K40" s="78">
        <v>798</v>
      </c>
      <c r="L40" s="79">
        <v>15</v>
      </c>
      <c r="M40" s="82"/>
      <c r="N40" s="82"/>
    </row>
    <row r="42" spans="1:14" x14ac:dyDescent="0.25">
      <c r="A42" s="80" t="s">
        <v>366</v>
      </c>
    </row>
    <row r="43" spans="1:14" ht="15.75" thickBot="1" x14ac:dyDescent="0.3"/>
    <row r="44" spans="1:14" ht="75" x14ac:dyDescent="0.25">
      <c r="A44" s="68" t="s">
        <v>69</v>
      </c>
      <c r="B44" s="65" t="s">
        <v>58</v>
      </c>
      <c r="C44" s="65" t="s">
        <v>59</v>
      </c>
      <c r="D44" s="65" t="s">
        <v>60</v>
      </c>
      <c r="E44" s="65" t="s">
        <v>61</v>
      </c>
      <c r="F44" s="65" t="s">
        <v>62</v>
      </c>
      <c r="G44" s="65" t="s">
        <v>63</v>
      </c>
      <c r="H44" s="65" t="s">
        <v>64</v>
      </c>
      <c r="I44" s="65" t="s">
        <v>65</v>
      </c>
      <c r="J44" s="66" t="s">
        <v>363</v>
      </c>
      <c r="K44" s="66" t="s">
        <v>364</v>
      </c>
      <c r="L44" s="67" t="s">
        <v>365</v>
      </c>
      <c r="M44" s="81" t="s">
        <v>368</v>
      </c>
      <c r="N44" s="81" t="s">
        <v>439</v>
      </c>
    </row>
    <row r="45" spans="1:14" x14ac:dyDescent="0.25">
      <c r="A45" s="69" t="s">
        <v>70</v>
      </c>
      <c r="B45" s="71">
        <v>9.6166666666666692E-3</v>
      </c>
      <c r="C45" s="71">
        <v>8.2354999999999998E-2</v>
      </c>
      <c r="D45" s="71">
        <v>0.28000000000000003</v>
      </c>
      <c r="E45" s="71">
        <v>0.10337499999999999</v>
      </c>
      <c r="F45" s="71">
        <v>0.234953703703704</v>
      </c>
      <c r="G45" s="71">
        <v>0.24759999999999999</v>
      </c>
      <c r="H45" s="71">
        <v>0.15965006172839513</v>
      </c>
      <c r="I45" s="71">
        <v>0.14540265777777781</v>
      </c>
      <c r="J45" s="72">
        <v>300</v>
      </c>
      <c r="K45" s="73">
        <v>452</v>
      </c>
      <c r="L45" s="74">
        <v>6</v>
      </c>
      <c r="M45" s="99">
        <f>1000*H45/J45</f>
        <v>0.53216687242798377</v>
      </c>
      <c r="N45" s="99">
        <f>I45/K45*1000</f>
        <v>0.32168729596853496</v>
      </c>
    </row>
    <row r="46" spans="1:14" x14ac:dyDescent="0.25">
      <c r="A46" s="69" t="s">
        <v>338</v>
      </c>
      <c r="B46" s="71">
        <v>0.1923</v>
      </c>
      <c r="C46" s="71">
        <v>8.8249999999999995E-2</v>
      </c>
      <c r="D46" s="71">
        <v>0</v>
      </c>
      <c r="E46" s="71">
        <v>3.1824999999999999E-2</v>
      </c>
      <c r="F46" s="71">
        <v>0</v>
      </c>
      <c r="G46" s="71">
        <v>0</v>
      </c>
      <c r="H46" s="71">
        <v>5.2062499999999991E-2</v>
      </c>
      <c r="I46" s="71">
        <v>6.4296400000000004E-2</v>
      </c>
      <c r="J46" s="72">
        <v>150</v>
      </c>
      <c r="K46" s="73">
        <v>155</v>
      </c>
      <c r="L46" s="74">
        <v>5</v>
      </c>
      <c r="M46" s="99">
        <f t="shared" ref="M46:M61" si="2">1000*H46/J46</f>
        <v>0.3470833333333333</v>
      </c>
      <c r="N46" s="99">
        <f t="shared" ref="N46:N61" si="3">I46/K46*1000</f>
        <v>0.41481548387096778</v>
      </c>
    </row>
    <row r="47" spans="1:14" x14ac:dyDescent="0.25">
      <c r="A47" s="69" t="s">
        <v>317</v>
      </c>
      <c r="B47" s="71">
        <v>0</v>
      </c>
      <c r="C47" s="71">
        <v>5.5282999999999999E-2</v>
      </c>
      <c r="D47" s="71">
        <v>3.168E-2</v>
      </c>
      <c r="E47" s="71">
        <v>0.38440000000000002</v>
      </c>
      <c r="F47" s="71">
        <v>0</v>
      </c>
      <c r="G47" s="71">
        <v>0.34763333333333302</v>
      </c>
      <c r="H47" s="71">
        <v>0.13649938888888882</v>
      </c>
      <c r="I47" s="71">
        <v>0.11507754466666663</v>
      </c>
      <c r="J47" s="72">
        <v>450</v>
      </c>
      <c r="K47" s="73">
        <v>800</v>
      </c>
      <c r="L47" s="74">
        <v>8</v>
      </c>
      <c r="M47" s="99">
        <f t="shared" si="2"/>
        <v>0.30333197530864187</v>
      </c>
      <c r="N47" s="99">
        <f t="shared" si="3"/>
        <v>0.14384693083333328</v>
      </c>
    </row>
    <row r="48" spans="1:14" x14ac:dyDescent="0.25">
      <c r="A48" s="69" t="s">
        <v>319</v>
      </c>
      <c r="B48" s="71">
        <v>1.4425E-2</v>
      </c>
      <c r="C48" s="71">
        <v>0.17647499999999999</v>
      </c>
      <c r="D48" s="71">
        <v>0.14399999999999999</v>
      </c>
      <c r="E48" s="71">
        <v>5.9249999999999997E-2</v>
      </c>
      <c r="F48" s="71">
        <v>1.38888888888889E-2</v>
      </c>
      <c r="G48" s="71">
        <v>8.1240000000000007E-2</v>
      </c>
      <c r="H48" s="71">
        <v>8.1546481481481484E-2</v>
      </c>
      <c r="I48" s="71">
        <v>8.8582146666666667E-2</v>
      </c>
      <c r="J48" s="72">
        <v>300</v>
      </c>
      <c r="K48" s="73">
        <v>607</v>
      </c>
      <c r="L48" s="74">
        <v>3</v>
      </c>
      <c r="M48" s="99">
        <f t="shared" si="2"/>
        <v>0.27182160493827162</v>
      </c>
      <c r="N48" s="99">
        <f t="shared" si="3"/>
        <v>0.14593434376716091</v>
      </c>
    </row>
    <row r="49" spans="1:14" x14ac:dyDescent="0.25">
      <c r="A49" s="69" t="s">
        <v>328</v>
      </c>
      <c r="B49" s="71">
        <v>0</v>
      </c>
      <c r="C49" s="71">
        <v>0.24592771666666699</v>
      </c>
      <c r="D49" s="71">
        <v>0.24</v>
      </c>
      <c r="E49" s="71">
        <v>0.12021</v>
      </c>
      <c r="F49" s="71">
        <v>3.4259259259259302E-2</v>
      </c>
      <c r="G49" s="71">
        <v>0.25284000000000001</v>
      </c>
      <c r="H49" s="71">
        <v>0.14887282932098775</v>
      </c>
      <c r="I49" s="71">
        <v>0.14971052741111116</v>
      </c>
      <c r="J49" s="72">
        <v>700</v>
      </c>
      <c r="K49" s="73">
        <v>1680</v>
      </c>
      <c r="L49" s="74">
        <v>4</v>
      </c>
      <c r="M49" s="99">
        <f t="shared" si="2"/>
        <v>0.21267547045855395</v>
      </c>
      <c r="N49" s="99">
        <f t="shared" si="3"/>
        <v>8.911340917328045E-2</v>
      </c>
    </row>
    <row r="50" spans="1:14" x14ac:dyDescent="0.25">
      <c r="A50" s="69" t="s">
        <v>314</v>
      </c>
      <c r="B50" s="71">
        <v>9.6149999999999999E-2</v>
      </c>
      <c r="C50" s="71">
        <v>0.14708333333333301</v>
      </c>
      <c r="D50" s="71">
        <v>0</v>
      </c>
      <c r="E50" s="71">
        <v>0</v>
      </c>
      <c r="F50" s="71">
        <v>0</v>
      </c>
      <c r="G50" s="71">
        <v>0</v>
      </c>
      <c r="H50" s="71">
        <v>4.053888888888884E-2</v>
      </c>
      <c r="I50" s="71">
        <v>5.0875266666666599E-2</v>
      </c>
      <c r="J50" s="72">
        <v>200</v>
      </c>
      <c r="K50" s="72">
        <v>600</v>
      </c>
      <c r="L50" s="74">
        <v>1</v>
      </c>
      <c r="M50" s="99">
        <f t="shared" si="2"/>
        <v>0.20269444444444421</v>
      </c>
      <c r="N50" s="99">
        <f t="shared" si="3"/>
        <v>8.4792111111110999E-2</v>
      </c>
    </row>
    <row r="51" spans="1:14" x14ac:dyDescent="0.25">
      <c r="A51" s="69" t="s">
        <v>315</v>
      </c>
      <c r="B51" s="71">
        <v>0</v>
      </c>
      <c r="C51" s="71">
        <v>9.9959999999999997E-3</v>
      </c>
      <c r="D51" s="71">
        <v>0</v>
      </c>
      <c r="E51" s="71">
        <v>0.28699999999999998</v>
      </c>
      <c r="F51" s="71">
        <v>6.0185185185185203E-2</v>
      </c>
      <c r="G51" s="71">
        <v>0</v>
      </c>
      <c r="H51" s="71">
        <v>5.9530197530864193E-2</v>
      </c>
      <c r="I51" s="71">
        <v>5.351173155555556E-2</v>
      </c>
      <c r="J51" s="72">
        <v>300</v>
      </c>
      <c r="K51" s="75">
        <v>394</v>
      </c>
      <c r="L51" s="74">
        <v>2</v>
      </c>
      <c r="M51" s="99">
        <f t="shared" si="2"/>
        <v>0.19843399176954732</v>
      </c>
      <c r="N51" s="99">
        <f t="shared" si="3"/>
        <v>0.13581657755217147</v>
      </c>
    </row>
    <row r="52" spans="1:14" x14ac:dyDescent="0.25">
      <c r="A52" s="69" t="s">
        <v>336</v>
      </c>
      <c r="B52" s="71">
        <v>0.16480707142857101</v>
      </c>
      <c r="C52" s="71">
        <v>0.10294375</v>
      </c>
      <c r="D52" s="71">
        <v>0.14799999999999999</v>
      </c>
      <c r="E52" s="71">
        <v>0</v>
      </c>
      <c r="F52" s="71">
        <v>0.27718749999999998</v>
      </c>
      <c r="G52" s="71">
        <v>0</v>
      </c>
      <c r="H52" s="71">
        <v>0.11548972023809516</v>
      </c>
      <c r="I52" s="71">
        <v>0.11773093828571418</v>
      </c>
      <c r="J52" s="72">
        <v>600</v>
      </c>
      <c r="K52" s="73">
        <v>1037</v>
      </c>
      <c r="L52" s="74">
        <v>14</v>
      </c>
      <c r="M52" s="99">
        <f t="shared" si="2"/>
        <v>0.19248286706349194</v>
      </c>
      <c r="N52" s="99">
        <f t="shared" si="3"/>
        <v>0.11353031657253056</v>
      </c>
    </row>
    <row r="53" spans="1:14" x14ac:dyDescent="0.25">
      <c r="A53" s="69" t="s">
        <v>333</v>
      </c>
      <c r="B53" s="71">
        <v>0</v>
      </c>
      <c r="C53" s="71">
        <v>3.9216666666666698E-2</v>
      </c>
      <c r="D53" s="71">
        <v>9.6000000000000002E-2</v>
      </c>
      <c r="E53" s="71">
        <v>2.1000000000000001E-2</v>
      </c>
      <c r="F53" s="71">
        <v>0</v>
      </c>
      <c r="G53" s="71">
        <v>0.17583333333333301</v>
      </c>
      <c r="H53" s="71">
        <v>5.5341666666666622E-2</v>
      </c>
      <c r="I53" s="71">
        <v>4.994479999999997E-2</v>
      </c>
      <c r="J53" s="72">
        <v>300</v>
      </c>
      <c r="K53" s="73">
        <v>610</v>
      </c>
      <c r="L53" s="74">
        <v>17</v>
      </c>
      <c r="M53" s="99">
        <f t="shared" si="2"/>
        <v>0.18447222222222209</v>
      </c>
      <c r="N53" s="99">
        <f t="shared" si="3"/>
        <v>8.1876721311475359E-2</v>
      </c>
    </row>
    <row r="54" spans="1:14" x14ac:dyDescent="0.25">
      <c r="A54" s="69" t="s">
        <v>318</v>
      </c>
      <c r="B54" s="71">
        <v>0.13671111111111101</v>
      </c>
      <c r="C54" s="71">
        <v>0</v>
      </c>
      <c r="D54" s="71">
        <v>0.12</v>
      </c>
      <c r="E54" s="71">
        <v>3.5999999999999997E-2</v>
      </c>
      <c r="F54" s="71">
        <v>0.27395833333333303</v>
      </c>
      <c r="G54" s="71">
        <v>0</v>
      </c>
      <c r="H54" s="71">
        <v>9.4444907407407339E-2</v>
      </c>
      <c r="I54" s="71">
        <v>9.0001552777777716E-2</v>
      </c>
      <c r="J54" s="72">
        <v>550</v>
      </c>
      <c r="K54" s="75">
        <v>1276</v>
      </c>
      <c r="L54" s="74">
        <v>9</v>
      </c>
      <c r="M54" s="99">
        <f t="shared" si="2"/>
        <v>0.17171801346801335</v>
      </c>
      <c r="N54" s="99">
        <f t="shared" si="3"/>
        <v>7.0534132270985664E-2</v>
      </c>
    </row>
    <row r="55" spans="1:14" x14ac:dyDescent="0.25">
      <c r="A55" s="69" t="s">
        <v>327</v>
      </c>
      <c r="B55" s="71">
        <v>0</v>
      </c>
      <c r="C55" s="71">
        <v>2.9399999999999999E-2</v>
      </c>
      <c r="D55" s="71">
        <v>0</v>
      </c>
      <c r="E55" s="71">
        <v>0.1225</v>
      </c>
      <c r="F55" s="71">
        <v>0</v>
      </c>
      <c r="G55" s="71">
        <v>0.28599999999999998</v>
      </c>
      <c r="H55" s="71">
        <v>7.2983333333333331E-2</v>
      </c>
      <c r="I55" s="71">
        <v>5.5768399999999996E-2</v>
      </c>
      <c r="J55" s="72">
        <v>450</v>
      </c>
      <c r="K55" s="75">
        <v>471</v>
      </c>
      <c r="L55" s="74">
        <v>16</v>
      </c>
      <c r="M55" s="99">
        <f t="shared" si="2"/>
        <v>0.16218518518518518</v>
      </c>
      <c r="N55" s="99">
        <f t="shared" si="3"/>
        <v>0.11840424628450105</v>
      </c>
    </row>
    <row r="56" spans="1:14" x14ac:dyDescent="0.25">
      <c r="A56" s="69" t="s">
        <v>324</v>
      </c>
      <c r="B56" s="71">
        <v>0.15249118095238101</v>
      </c>
      <c r="C56" s="71">
        <v>0.31020383333333301</v>
      </c>
      <c r="D56" s="71">
        <v>0.16800000000000001</v>
      </c>
      <c r="E56" s="71">
        <v>0</v>
      </c>
      <c r="F56" s="71">
        <v>7.7921296296296294E-2</v>
      </c>
      <c r="G56" s="71">
        <v>0</v>
      </c>
      <c r="H56" s="71">
        <v>0.11810271843033505</v>
      </c>
      <c r="I56" s="71">
        <v>0.13979236627936503</v>
      </c>
      <c r="J56" s="72">
        <v>800</v>
      </c>
      <c r="K56" s="75">
        <v>1628</v>
      </c>
      <c r="L56" s="74">
        <v>10</v>
      </c>
      <c r="M56" s="99">
        <f t="shared" si="2"/>
        <v>0.14762839803791883</v>
      </c>
      <c r="N56" s="99">
        <f t="shared" si="3"/>
        <v>8.5867546854646815E-2</v>
      </c>
    </row>
    <row r="57" spans="1:14" x14ac:dyDescent="0.25">
      <c r="A57" s="69" t="s">
        <v>335</v>
      </c>
      <c r="B57" s="71">
        <v>0</v>
      </c>
      <c r="C57" s="71">
        <v>7.8408333333333302E-2</v>
      </c>
      <c r="D57" s="71">
        <v>0</v>
      </c>
      <c r="E57" s="71">
        <v>0.2019</v>
      </c>
      <c r="F57" s="71">
        <v>0</v>
      </c>
      <c r="G57" s="71">
        <v>5.2740000000000002E-2</v>
      </c>
      <c r="H57" s="71">
        <v>5.5508055555555547E-2</v>
      </c>
      <c r="I57" s="71">
        <v>5.3291696666666659E-2</v>
      </c>
      <c r="J57" s="72">
        <v>500</v>
      </c>
      <c r="K57" s="75">
        <v>512</v>
      </c>
      <c r="L57" s="74">
        <v>13</v>
      </c>
      <c r="M57" s="99">
        <f t="shared" si="2"/>
        <v>0.11101611111111109</v>
      </c>
      <c r="N57" s="99">
        <f t="shared" si="3"/>
        <v>0.10408534505208332</v>
      </c>
    </row>
    <row r="58" spans="1:14" x14ac:dyDescent="0.25">
      <c r="A58" s="69" t="s">
        <v>316</v>
      </c>
      <c r="B58" s="71">
        <v>0</v>
      </c>
      <c r="C58" s="71">
        <v>0</v>
      </c>
      <c r="D58" s="71">
        <v>0.2</v>
      </c>
      <c r="E58" s="71">
        <v>0</v>
      </c>
      <c r="F58" s="71">
        <v>6.875E-3</v>
      </c>
      <c r="G58" s="71">
        <v>0</v>
      </c>
      <c r="H58" s="71">
        <v>3.4479166666666665E-2</v>
      </c>
      <c r="I58" s="71">
        <v>4.1963125000000004E-2</v>
      </c>
      <c r="J58" s="72">
        <v>400</v>
      </c>
      <c r="K58" s="73">
        <v>500</v>
      </c>
      <c r="L58" s="74">
        <v>7</v>
      </c>
      <c r="M58" s="99">
        <f t="shared" si="2"/>
        <v>8.6197916666666666E-2</v>
      </c>
      <c r="N58" s="99">
        <f t="shared" si="3"/>
        <v>8.3926250000000008E-2</v>
      </c>
    </row>
    <row r="59" spans="1:14" x14ac:dyDescent="0.25">
      <c r="A59" s="69" t="s">
        <v>334</v>
      </c>
      <c r="B59" s="71">
        <v>0.1154</v>
      </c>
      <c r="C59" s="71">
        <v>0</v>
      </c>
      <c r="D59" s="71">
        <v>0</v>
      </c>
      <c r="E59" s="71">
        <v>0</v>
      </c>
      <c r="F59" s="71">
        <v>2.7777777777777801E-2</v>
      </c>
      <c r="G59" s="71">
        <v>0</v>
      </c>
      <c r="H59" s="71">
        <v>2.3862962962962964E-2</v>
      </c>
      <c r="I59" s="71">
        <v>2.7778933333333339E-2</v>
      </c>
      <c r="J59" s="72">
        <v>450</v>
      </c>
      <c r="K59" s="72">
        <v>521</v>
      </c>
      <c r="L59" s="74">
        <v>12</v>
      </c>
      <c r="M59" s="99">
        <f t="shared" si="2"/>
        <v>5.302880658436214E-2</v>
      </c>
      <c r="N59" s="99">
        <f t="shared" si="3"/>
        <v>5.3318490083173395E-2</v>
      </c>
    </row>
    <row r="60" spans="1:14" x14ac:dyDescent="0.25">
      <c r="A60" s="69" t="s">
        <v>339</v>
      </c>
      <c r="B60" s="71">
        <v>0</v>
      </c>
      <c r="C60" s="71">
        <v>6.6564899999999996E-2</v>
      </c>
      <c r="D60" s="71">
        <v>0</v>
      </c>
      <c r="E60" s="71">
        <v>6.5174999999999999E-3</v>
      </c>
      <c r="F60" s="71">
        <v>0</v>
      </c>
      <c r="G60" s="71">
        <v>0</v>
      </c>
      <c r="H60" s="71">
        <v>1.2180399999999999E-2</v>
      </c>
      <c r="I60" s="71">
        <v>1.4729099399999999E-2</v>
      </c>
      <c r="J60" s="72">
        <v>350</v>
      </c>
      <c r="K60" s="73">
        <v>361</v>
      </c>
      <c r="L60" s="74">
        <v>11</v>
      </c>
      <c r="M60" s="99">
        <f t="shared" si="2"/>
        <v>3.4801142857142857E-2</v>
      </c>
      <c r="N60" s="99">
        <f t="shared" si="3"/>
        <v>4.0800829362880882E-2</v>
      </c>
    </row>
    <row r="61" spans="1:14" ht="15.75" thickBot="1" x14ac:dyDescent="0.3">
      <c r="A61" s="70" t="s">
        <v>361</v>
      </c>
      <c r="B61" s="76">
        <v>0</v>
      </c>
      <c r="C61" s="76">
        <v>0</v>
      </c>
      <c r="D61" s="76">
        <v>0</v>
      </c>
      <c r="E61" s="76">
        <v>0</v>
      </c>
      <c r="F61" s="76">
        <v>9.2592592592592605E-3</v>
      </c>
      <c r="G61" s="76">
        <v>0</v>
      </c>
      <c r="H61" s="76">
        <v>1.54320987654321E-3</v>
      </c>
      <c r="I61" s="76">
        <v>1.0277777777777778E-3</v>
      </c>
      <c r="J61" s="77">
        <v>650</v>
      </c>
      <c r="K61" s="88">
        <v>798</v>
      </c>
      <c r="L61" s="79">
        <v>15</v>
      </c>
      <c r="M61" s="99">
        <f t="shared" si="2"/>
        <v>2.3741690408357078E-3</v>
      </c>
      <c r="N61" s="99">
        <f t="shared" si="3"/>
        <v>1.2879420774157618E-3</v>
      </c>
    </row>
    <row r="64" spans="1:14" x14ac:dyDescent="0.25">
      <c r="A64" s="80" t="s">
        <v>367</v>
      </c>
    </row>
    <row r="65" spans="1:14" ht="15.75" thickBot="1" x14ac:dyDescent="0.3"/>
    <row r="66" spans="1:14" ht="75" x14ac:dyDescent="0.25">
      <c r="A66" s="68" t="s">
        <v>69</v>
      </c>
      <c r="B66" s="65" t="s">
        <v>58</v>
      </c>
      <c r="C66" s="65" t="s">
        <v>59</v>
      </c>
      <c r="D66" s="65" t="s">
        <v>60</v>
      </c>
      <c r="E66" s="65" t="s">
        <v>61</v>
      </c>
      <c r="F66" s="65" t="s">
        <v>62</v>
      </c>
      <c r="G66" s="65" t="s">
        <v>63</v>
      </c>
      <c r="H66" s="65" t="s">
        <v>64</v>
      </c>
      <c r="I66" s="65" t="s">
        <v>65</v>
      </c>
      <c r="J66" s="66" t="s">
        <v>363</v>
      </c>
      <c r="K66" s="66" t="s">
        <v>364</v>
      </c>
      <c r="L66" s="67" t="s">
        <v>365</v>
      </c>
      <c r="M66" s="81" t="s">
        <v>368</v>
      </c>
      <c r="N66" s="81" t="s">
        <v>439</v>
      </c>
    </row>
    <row r="67" spans="1:14" x14ac:dyDescent="0.25">
      <c r="A67" s="69" t="s">
        <v>338</v>
      </c>
      <c r="B67" s="71">
        <v>0.1923</v>
      </c>
      <c r="C67" s="71">
        <v>8.8249999999999995E-2</v>
      </c>
      <c r="D67" s="71">
        <v>0</v>
      </c>
      <c r="E67" s="71">
        <v>3.1824999999999999E-2</v>
      </c>
      <c r="F67" s="71">
        <v>0</v>
      </c>
      <c r="G67" s="71">
        <v>0</v>
      </c>
      <c r="H67" s="71">
        <v>5.2062499999999991E-2</v>
      </c>
      <c r="I67" s="71">
        <v>6.4296400000000004E-2</v>
      </c>
      <c r="J67" s="72">
        <v>150</v>
      </c>
      <c r="K67" s="73">
        <v>155</v>
      </c>
      <c r="L67" s="74">
        <v>5</v>
      </c>
      <c r="M67" s="99">
        <f>1000*H67/J67</f>
        <v>0.3470833333333333</v>
      </c>
      <c r="N67" s="99">
        <f>I67/K67*1000</f>
        <v>0.41481548387096778</v>
      </c>
    </row>
    <row r="68" spans="1:14" x14ac:dyDescent="0.25">
      <c r="A68" s="69" t="s">
        <v>70</v>
      </c>
      <c r="B68" s="71">
        <v>9.6166666666666692E-3</v>
      </c>
      <c r="C68" s="71">
        <v>8.2354999999999998E-2</v>
      </c>
      <c r="D68" s="71">
        <v>0.28000000000000003</v>
      </c>
      <c r="E68" s="71">
        <v>0.10337499999999999</v>
      </c>
      <c r="F68" s="71">
        <v>0.234953703703704</v>
      </c>
      <c r="G68" s="71">
        <v>0.24759999999999999</v>
      </c>
      <c r="H68" s="71">
        <v>0.15965006172839513</v>
      </c>
      <c r="I68" s="71">
        <v>0.14540265777777781</v>
      </c>
      <c r="J68" s="72">
        <v>300</v>
      </c>
      <c r="K68" s="73">
        <v>452</v>
      </c>
      <c r="L68" s="74">
        <v>6</v>
      </c>
      <c r="M68" s="99">
        <f t="shared" ref="M68:M83" si="4">1000*H68/J68</f>
        <v>0.53216687242798377</v>
      </c>
      <c r="N68" s="99">
        <f t="shared" ref="N68:N83" si="5">I68/K68*1000</f>
        <v>0.32168729596853496</v>
      </c>
    </row>
    <row r="69" spans="1:14" x14ac:dyDescent="0.25">
      <c r="A69" s="69" t="s">
        <v>319</v>
      </c>
      <c r="B69" s="71">
        <v>1.4425E-2</v>
      </c>
      <c r="C69" s="71">
        <v>0.17647499999999999</v>
      </c>
      <c r="D69" s="71">
        <v>0.14399999999999999</v>
      </c>
      <c r="E69" s="71">
        <v>5.9249999999999997E-2</v>
      </c>
      <c r="F69" s="71">
        <v>1.38888888888889E-2</v>
      </c>
      <c r="G69" s="71">
        <v>8.1240000000000007E-2</v>
      </c>
      <c r="H69" s="71">
        <v>8.1546481481481484E-2</v>
      </c>
      <c r="I69" s="71">
        <v>8.8582146666666667E-2</v>
      </c>
      <c r="J69" s="72">
        <v>300</v>
      </c>
      <c r="K69" s="73">
        <v>607</v>
      </c>
      <c r="L69" s="74">
        <v>3</v>
      </c>
      <c r="M69" s="99">
        <f t="shared" si="4"/>
        <v>0.27182160493827162</v>
      </c>
      <c r="N69" s="99">
        <f t="shared" si="5"/>
        <v>0.14593434376716091</v>
      </c>
    </row>
    <row r="70" spans="1:14" x14ac:dyDescent="0.25">
      <c r="A70" s="69" t="s">
        <v>317</v>
      </c>
      <c r="B70" s="71">
        <v>0</v>
      </c>
      <c r="C70" s="71">
        <v>5.5282999999999999E-2</v>
      </c>
      <c r="D70" s="71">
        <v>3.168E-2</v>
      </c>
      <c r="E70" s="71">
        <v>0.38440000000000002</v>
      </c>
      <c r="F70" s="71">
        <v>0</v>
      </c>
      <c r="G70" s="71">
        <v>0.34763333333333302</v>
      </c>
      <c r="H70" s="71">
        <v>0.13649938888888882</v>
      </c>
      <c r="I70" s="71">
        <v>0.11507754466666663</v>
      </c>
      <c r="J70" s="72">
        <v>450</v>
      </c>
      <c r="K70" s="73">
        <v>800</v>
      </c>
      <c r="L70" s="74">
        <v>8</v>
      </c>
      <c r="M70" s="99">
        <f t="shared" si="4"/>
        <v>0.30333197530864187</v>
      </c>
      <c r="N70" s="99">
        <f t="shared" si="5"/>
        <v>0.14384693083333328</v>
      </c>
    </row>
    <row r="71" spans="1:14" x14ac:dyDescent="0.25">
      <c r="A71" s="69" t="s">
        <v>315</v>
      </c>
      <c r="B71" s="71">
        <v>0</v>
      </c>
      <c r="C71" s="71">
        <v>9.9959999999999997E-3</v>
      </c>
      <c r="D71" s="71">
        <v>0</v>
      </c>
      <c r="E71" s="71">
        <v>0.28699999999999998</v>
      </c>
      <c r="F71" s="71">
        <v>6.0185185185185203E-2</v>
      </c>
      <c r="G71" s="71">
        <v>0</v>
      </c>
      <c r="H71" s="71">
        <v>5.9530197530864193E-2</v>
      </c>
      <c r="I71" s="71">
        <v>5.351173155555556E-2</v>
      </c>
      <c r="J71" s="72">
        <v>300</v>
      </c>
      <c r="K71" s="75">
        <v>394</v>
      </c>
      <c r="L71" s="74">
        <v>2</v>
      </c>
      <c r="M71" s="99">
        <f t="shared" si="4"/>
        <v>0.19843399176954732</v>
      </c>
      <c r="N71" s="99">
        <f t="shared" si="5"/>
        <v>0.13581657755217147</v>
      </c>
    </row>
    <row r="72" spans="1:14" x14ac:dyDescent="0.25">
      <c r="A72" s="69" t="s">
        <v>327</v>
      </c>
      <c r="B72" s="71">
        <v>0</v>
      </c>
      <c r="C72" s="71">
        <v>2.9399999999999999E-2</v>
      </c>
      <c r="D72" s="71">
        <v>0</v>
      </c>
      <c r="E72" s="71">
        <v>0.1225</v>
      </c>
      <c r="F72" s="71">
        <v>0</v>
      </c>
      <c r="G72" s="71">
        <v>0.28599999999999998</v>
      </c>
      <c r="H72" s="71">
        <v>7.2983333333333331E-2</v>
      </c>
      <c r="I72" s="71">
        <v>5.5768399999999996E-2</v>
      </c>
      <c r="J72" s="72">
        <v>450</v>
      </c>
      <c r="K72" s="73">
        <v>471</v>
      </c>
      <c r="L72" s="74">
        <v>16</v>
      </c>
      <c r="M72" s="99">
        <f t="shared" si="4"/>
        <v>0.16218518518518518</v>
      </c>
      <c r="N72" s="99">
        <f t="shared" si="5"/>
        <v>0.11840424628450105</v>
      </c>
    </row>
    <row r="73" spans="1:14" x14ac:dyDescent="0.25">
      <c r="A73" s="69" t="s">
        <v>336</v>
      </c>
      <c r="B73" s="71">
        <v>0.16480707142857101</v>
      </c>
      <c r="C73" s="71">
        <v>0.10294375</v>
      </c>
      <c r="D73" s="71">
        <v>0.14799999999999999</v>
      </c>
      <c r="E73" s="71">
        <v>0</v>
      </c>
      <c r="F73" s="71">
        <v>0.27718749999999998</v>
      </c>
      <c r="G73" s="71">
        <v>0</v>
      </c>
      <c r="H73" s="71">
        <v>0.11548972023809516</v>
      </c>
      <c r="I73" s="71">
        <v>0.11773093828571418</v>
      </c>
      <c r="J73" s="72">
        <v>600</v>
      </c>
      <c r="K73" s="73">
        <v>1037</v>
      </c>
      <c r="L73" s="74">
        <v>14</v>
      </c>
      <c r="M73" s="99">
        <f t="shared" si="4"/>
        <v>0.19248286706349194</v>
      </c>
      <c r="N73" s="99">
        <f t="shared" si="5"/>
        <v>0.11353031657253056</v>
      </c>
    </row>
    <row r="74" spans="1:14" x14ac:dyDescent="0.25">
      <c r="A74" s="69" t="s">
        <v>335</v>
      </c>
      <c r="B74" s="71">
        <v>0</v>
      </c>
      <c r="C74" s="71">
        <v>7.8408333333333302E-2</v>
      </c>
      <c r="D74" s="71">
        <v>0</v>
      </c>
      <c r="E74" s="71">
        <v>0.2019</v>
      </c>
      <c r="F74" s="71">
        <v>0</v>
      </c>
      <c r="G74" s="71">
        <v>5.2740000000000002E-2</v>
      </c>
      <c r="H74" s="71">
        <v>5.5508055555555547E-2</v>
      </c>
      <c r="I74" s="71">
        <v>5.3291696666666659E-2</v>
      </c>
      <c r="J74" s="72">
        <v>500</v>
      </c>
      <c r="K74" s="75">
        <v>512</v>
      </c>
      <c r="L74" s="74">
        <v>13</v>
      </c>
      <c r="M74" s="99">
        <f t="shared" si="4"/>
        <v>0.11101611111111109</v>
      </c>
      <c r="N74" s="99">
        <f t="shared" si="5"/>
        <v>0.10408534505208332</v>
      </c>
    </row>
    <row r="75" spans="1:14" x14ac:dyDescent="0.25">
      <c r="A75" s="69" t="s">
        <v>328</v>
      </c>
      <c r="B75" s="71">
        <v>0</v>
      </c>
      <c r="C75" s="71">
        <v>0.24592771666666699</v>
      </c>
      <c r="D75" s="71">
        <v>0.24</v>
      </c>
      <c r="E75" s="71">
        <v>0.12021</v>
      </c>
      <c r="F75" s="71">
        <v>3.4259259259259302E-2</v>
      </c>
      <c r="G75" s="71">
        <v>0.25284000000000001</v>
      </c>
      <c r="H75" s="71">
        <v>0.14887282932098775</v>
      </c>
      <c r="I75" s="71">
        <v>0.14971052741111116</v>
      </c>
      <c r="J75" s="72">
        <v>700</v>
      </c>
      <c r="K75" s="73">
        <v>1680</v>
      </c>
      <c r="L75" s="74">
        <v>4</v>
      </c>
      <c r="M75" s="99">
        <f t="shared" si="4"/>
        <v>0.21267547045855395</v>
      </c>
      <c r="N75" s="99">
        <f t="shared" si="5"/>
        <v>8.911340917328045E-2</v>
      </c>
    </row>
    <row r="76" spans="1:14" x14ac:dyDescent="0.25">
      <c r="A76" s="69" t="s">
        <v>324</v>
      </c>
      <c r="B76" s="71">
        <v>0.15249118095238101</v>
      </c>
      <c r="C76" s="71">
        <v>0.31020383333333301</v>
      </c>
      <c r="D76" s="71">
        <v>0.16800000000000001</v>
      </c>
      <c r="E76" s="71">
        <v>0</v>
      </c>
      <c r="F76" s="71">
        <v>7.7921296296296294E-2</v>
      </c>
      <c r="G76" s="71">
        <v>0</v>
      </c>
      <c r="H76" s="71">
        <v>0.11810271843033505</v>
      </c>
      <c r="I76" s="71">
        <v>0.13979236627936503</v>
      </c>
      <c r="J76" s="72">
        <v>800</v>
      </c>
      <c r="K76" s="72">
        <v>1628</v>
      </c>
      <c r="L76" s="74">
        <v>10</v>
      </c>
      <c r="M76" s="99">
        <f t="shared" si="4"/>
        <v>0.14762839803791883</v>
      </c>
      <c r="N76" s="99">
        <f t="shared" si="5"/>
        <v>8.5867546854646815E-2</v>
      </c>
    </row>
    <row r="77" spans="1:14" x14ac:dyDescent="0.25">
      <c r="A77" s="69" t="s">
        <v>314</v>
      </c>
      <c r="B77" s="71">
        <v>9.6149999999999999E-2</v>
      </c>
      <c r="C77" s="71">
        <v>0.14708333333333301</v>
      </c>
      <c r="D77" s="71">
        <v>0</v>
      </c>
      <c r="E77" s="71">
        <v>0</v>
      </c>
      <c r="F77" s="71">
        <v>0</v>
      </c>
      <c r="G77" s="71">
        <v>0</v>
      </c>
      <c r="H77" s="71">
        <v>4.053888888888884E-2</v>
      </c>
      <c r="I77" s="71">
        <v>5.0875266666666599E-2</v>
      </c>
      <c r="J77" s="72">
        <v>200</v>
      </c>
      <c r="K77" s="75">
        <v>600</v>
      </c>
      <c r="L77" s="74">
        <v>1</v>
      </c>
      <c r="M77" s="99">
        <f t="shared" si="4"/>
        <v>0.20269444444444421</v>
      </c>
      <c r="N77" s="99">
        <f t="shared" si="5"/>
        <v>8.4792111111110999E-2</v>
      </c>
    </row>
    <row r="78" spans="1:14" x14ac:dyDescent="0.25">
      <c r="A78" s="69" t="s">
        <v>316</v>
      </c>
      <c r="B78" s="71">
        <v>0</v>
      </c>
      <c r="C78" s="71">
        <v>0</v>
      </c>
      <c r="D78" s="71">
        <v>0.2</v>
      </c>
      <c r="E78" s="71">
        <v>0</v>
      </c>
      <c r="F78" s="71">
        <v>6.875E-3</v>
      </c>
      <c r="G78" s="71">
        <v>0</v>
      </c>
      <c r="H78" s="71">
        <v>3.4479166666666665E-2</v>
      </c>
      <c r="I78" s="71">
        <v>4.1963125000000004E-2</v>
      </c>
      <c r="J78" s="72">
        <v>400</v>
      </c>
      <c r="K78" s="75">
        <v>500</v>
      </c>
      <c r="L78" s="74">
        <v>7</v>
      </c>
      <c r="M78" s="99">
        <f t="shared" si="4"/>
        <v>8.6197916666666666E-2</v>
      </c>
      <c r="N78" s="99">
        <f t="shared" si="5"/>
        <v>8.3926250000000008E-2</v>
      </c>
    </row>
    <row r="79" spans="1:14" x14ac:dyDescent="0.25">
      <c r="A79" s="69" t="s">
        <v>333</v>
      </c>
      <c r="B79" s="71">
        <v>0</v>
      </c>
      <c r="C79" s="71">
        <v>3.9216666666666698E-2</v>
      </c>
      <c r="D79" s="71">
        <v>9.6000000000000002E-2</v>
      </c>
      <c r="E79" s="71">
        <v>2.1000000000000001E-2</v>
      </c>
      <c r="F79" s="71">
        <v>0</v>
      </c>
      <c r="G79" s="71">
        <v>0.17583333333333301</v>
      </c>
      <c r="H79" s="71">
        <v>5.5341666666666622E-2</v>
      </c>
      <c r="I79" s="71">
        <v>4.994479999999997E-2</v>
      </c>
      <c r="J79" s="72">
        <v>300</v>
      </c>
      <c r="K79" s="72">
        <v>610</v>
      </c>
      <c r="L79" s="74">
        <v>17</v>
      </c>
      <c r="M79" s="99">
        <f t="shared" si="4"/>
        <v>0.18447222222222209</v>
      </c>
      <c r="N79" s="99">
        <f t="shared" si="5"/>
        <v>8.1876721311475359E-2</v>
      </c>
    </row>
    <row r="80" spans="1:14" x14ac:dyDescent="0.25">
      <c r="A80" s="69" t="s">
        <v>318</v>
      </c>
      <c r="B80" s="71">
        <v>0.13671111111111101</v>
      </c>
      <c r="C80" s="71">
        <v>0</v>
      </c>
      <c r="D80" s="71">
        <v>0.12</v>
      </c>
      <c r="E80" s="71">
        <v>3.5999999999999997E-2</v>
      </c>
      <c r="F80" s="71">
        <v>0.27395833333333303</v>
      </c>
      <c r="G80" s="71">
        <v>0</v>
      </c>
      <c r="H80" s="71">
        <v>9.4444907407407339E-2</v>
      </c>
      <c r="I80" s="71">
        <v>9.0001552777777716E-2</v>
      </c>
      <c r="J80" s="72">
        <v>550</v>
      </c>
      <c r="K80" s="73">
        <v>1276</v>
      </c>
      <c r="L80" s="74">
        <v>9</v>
      </c>
      <c r="M80" s="99">
        <f t="shared" si="4"/>
        <v>0.17171801346801335</v>
      </c>
      <c r="N80" s="99">
        <f t="shared" si="5"/>
        <v>7.0534132270985664E-2</v>
      </c>
    </row>
    <row r="81" spans="1:14" x14ac:dyDescent="0.25">
      <c r="A81" s="69" t="s">
        <v>334</v>
      </c>
      <c r="B81" s="71">
        <v>0.1154</v>
      </c>
      <c r="C81" s="71">
        <v>0</v>
      </c>
      <c r="D81" s="71">
        <v>0</v>
      </c>
      <c r="E81" s="71">
        <v>0</v>
      </c>
      <c r="F81" s="71">
        <v>2.7777777777777801E-2</v>
      </c>
      <c r="G81" s="71">
        <v>0</v>
      </c>
      <c r="H81" s="71">
        <v>2.3862962962962964E-2</v>
      </c>
      <c r="I81" s="71">
        <v>2.7778933333333339E-2</v>
      </c>
      <c r="J81" s="72">
        <v>450</v>
      </c>
      <c r="K81" s="73">
        <v>521</v>
      </c>
      <c r="L81" s="74">
        <v>12</v>
      </c>
      <c r="M81" s="99">
        <f t="shared" si="4"/>
        <v>5.302880658436214E-2</v>
      </c>
      <c r="N81" s="99">
        <f t="shared" si="5"/>
        <v>5.3318490083173395E-2</v>
      </c>
    </row>
    <row r="82" spans="1:14" x14ac:dyDescent="0.25">
      <c r="A82" s="69" t="s">
        <v>339</v>
      </c>
      <c r="B82" s="71">
        <v>0</v>
      </c>
      <c r="C82" s="71">
        <v>6.6564899999999996E-2</v>
      </c>
      <c r="D82" s="71">
        <v>0</v>
      </c>
      <c r="E82" s="71">
        <v>6.5174999999999999E-3</v>
      </c>
      <c r="F82" s="71">
        <v>0</v>
      </c>
      <c r="G82" s="71">
        <v>0</v>
      </c>
      <c r="H82" s="71">
        <v>1.2180399999999999E-2</v>
      </c>
      <c r="I82" s="71">
        <v>1.4729099399999999E-2</v>
      </c>
      <c r="J82" s="72">
        <v>350</v>
      </c>
      <c r="K82" s="73">
        <v>361</v>
      </c>
      <c r="L82" s="74">
        <v>11</v>
      </c>
      <c r="M82" s="99">
        <f t="shared" si="4"/>
        <v>3.4801142857142857E-2</v>
      </c>
      <c r="N82" s="99">
        <f t="shared" si="5"/>
        <v>4.0800829362880882E-2</v>
      </c>
    </row>
    <row r="83" spans="1:14" ht="15.75" thickBot="1" x14ac:dyDescent="0.3">
      <c r="A83" s="70" t="s">
        <v>361</v>
      </c>
      <c r="B83" s="76">
        <v>0</v>
      </c>
      <c r="C83" s="76">
        <v>0</v>
      </c>
      <c r="D83" s="76">
        <v>0</v>
      </c>
      <c r="E83" s="76">
        <v>0</v>
      </c>
      <c r="F83" s="76">
        <v>9.2592592592592605E-3</v>
      </c>
      <c r="G83" s="76">
        <v>0</v>
      </c>
      <c r="H83" s="76">
        <v>1.54320987654321E-3</v>
      </c>
      <c r="I83" s="76">
        <v>1.0277777777777778E-3</v>
      </c>
      <c r="J83" s="77">
        <v>650</v>
      </c>
      <c r="K83" s="78">
        <v>798</v>
      </c>
      <c r="L83" s="79">
        <v>15</v>
      </c>
      <c r="M83" s="99">
        <f t="shared" si="4"/>
        <v>2.3741690408357078E-3</v>
      </c>
      <c r="N83" s="99">
        <f t="shared" si="5"/>
        <v>1.2879420774157618E-3</v>
      </c>
    </row>
    <row r="85" spans="1:14" x14ac:dyDescent="0.25">
      <c r="A85" s="93" t="s">
        <v>717</v>
      </c>
    </row>
    <row r="86" spans="1:14" ht="15.75" thickBot="1" x14ac:dyDescent="0.3"/>
    <row r="87" spans="1:14" ht="30" x14ac:dyDescent="0.25">
      <c r="A87" s="68" t="s">
        <v>69</v>
      </c>
      <c r="B87" s="65" t="s">
        <v>58</v>
      </c>
      <c r="C87" s="65" t="s">
        <v>59</v>
      </c>
      <c r="D87" s="65" t="s">
        <v>60</v>
      </c>
      <c r="E87" s="65" t="s">
        <v>61</v>
      </c>
      <c r="F87" s="65" t="s">
        <v>62</v>
      </c>
      <c r="G87" s="65" t="s">
        <v>63</v>
      </c>
      <c r="H87" s="65" t="s">
        <v>64</v>
      </c>
      <c r="I87" s="65" t="s">
        <v>65</v>
      </c>
      <c r="J87" s="66" t="s">
        <v>363</v>
      </c>
      <c r="K87" s="66" t="s">
        <v>364</v>
      </c>
      <c r="L87" s="67" t="s">
        <v>365</v>
      </c>
    </row>
    <row r="88" spans="1:14" x14ac:dyDescent="0.25">
      <c r="A88" s="69" t="s">
        <v>314</v>
      </c>
      <c r="B88" s="71">
        <f t="shared" ref="B88:B104" si="6">B2*O$3</f>
        <v>2.05761E-2</v>
      </c>
      <c r="C88" s="71">
        <f t="shared" ref="C88:C104" si="7">C2*P$3</f>
        <v>3.0299166666666599E-2</v>
      </c>
      <c r="D88" s="71">
        <f t="shared" ref="D88:D104" si="8">D2*Q$3</f>
        <v>0</v>
      </c>
      <c r="E88" s="71">
        <f t="shared" ref="E88:E104" si="9">E2*R$3</f>
        <v>0</v>
      </c>
      <c r="F88" s="71">
        <f t="shared" ref="F88:F104" si="10">F2*S$3</f>
        <v>0</v>
      </c>
      <c r="G88" s="71">
        <f t="shared" ref="G88:G104" si="11">G2*T$3</f>
        <v>0</v>
      </c>
      <c r="H88" s="71">
        <f t="shared" ref="H88:H104" si="12">AVERAGE(B88:G88)</f>
        <v>8.4792111111110999E-3</v>
      </c>
      <c r="I88" s="71">
        <f t="shared" ref="I88:I104" si="13">SUM(B88:G88)</f>
        <v>5.0875266666666599E-2</v>
      </c>
      <c r="J88" s="72">
        <v>700</v>
      </c>
      <c r="K88" s="73">
        <v>1680</v>
      </c>
      <c r="L88" s="74">
        <v>4</v>
      </c>
    </row>
    <row r="89" spans="1:14" x14ac:dyDescent="0.25">
      <c r="A89" s="69" t="s">
        <v>315</v>
      </c>
      <c r="B89" s="71">
        <f t="shared" si="6"/>
        <v>0</v>
      </c>
      <c r="C89" s="71">
        <f t="shared" si="7"/>
        <v>2.0591759999999998E-3</v>
      </c>
      <c r="D89" s="71">
        <f t="shared" si="8"/>
        <v>0</v>
      </c>
      <c r="E89" s="71">
        <f t="shared" si="9"/>
        <v>4.4771999999999999E-2</v>
      </c>
      <c r="F89" s="71">
        <f t="shared" si="10"/>
        <v>6.6805555555555576E-3</v>
      </c>
      <c r="G89" s="71">
        <f t="shared" si="11"/>
        <v>0</v>
      </c>
      <c r="H89" s="71">
        <f t="shared" si="12"/>
        <v>8.9186219259259261E-3</v>
      </c>
      <c r="I89" s="71">
        <f t="shared" si="13"/>
        <v>5.351173155555556E-2</v>
      </c>
      <c r="J89" s="72">
        <v>300</v>
      </c>
      <c r="K89" s="73">
        <v>452</v>
      </c>
      <c r="L89" s="74">
        <v>6</v>
      </c>
    </row>
    <row r="90" spans="1:14" x14ac:dyDescent="0.25">
      <c r="A90" s="69" t="s">
        <v>319</v>
      </c>
      <c r="B90" s="71">
        <f t="shared" si="6"/>
        <v>3.0869500000000002E-3</v>
      </c>
      <c r="C90" s="71">
        <f t="shared" si="7"/>
        <v>3.6353849999999993E-2</v>
      </c>
      <c r="D90" s="71">
        <f t="shared" si="8"/>
        <v>2.9663999999999996E-2</v>
      </c>
      <c r="E90" s="71">
        <f t="shared" si="9"/>
        <v>9.2429999999999995E-3</v>
      </c>
      <c r="F90" s="71">
        <f t="shared" si="10"/>
        <v>1.541666666666668E-3</v>
      </c>
      <c r="G90" s="71">
        <f t="shared" si="11"/>
        <v>8.6926800000000012E-3</v>
      </c>
      <c r="H90" s="71">
        <f t="shared" si="12"/>
        <v>1.4763691111111111E-2</v>
      </c>
      <c r="I90" s="71">
        <f t="shared" si="13"/>
        <v>8.8582146666666667E-2</v>
      </c>
      <c r="J90" s="72">
        <v>800</v>
      </c>
      <c r="K90" s="73">
        <v>1628</v>
      </c>
      <c r="L90" s="74">
        <v>10</v>
      </c>
    </row>
    <row r="91" spans="1:14" x14ac:dyDescent="0.25">
      <c r="A91" s="69" t="s">
        <v>328</v>
      </c>
      <c r="B91" s="71">
        <f t="shared" si="6"/>
        <v>0</v>
      </c>
      <c r="C91" s="71">
        <f t="shared" si="7"/>
        <v>5.0661109633333395E-2</v>
      </c>
      <c r="D91" s="71">
        <f t="shared" si="8"/>
        <v>4.9439999999999998E-2</v>
      </c>
      <c r="E91" s="71">
        <f t="shared" si="9"/>
        <v>1.875276E-2</v>
      </c>
      <c r="F91" s="71">
        <f t="shared" si="10"/>
        <v>3.8027777777777825E-3</v>
      </c>
      <c r="G91" s="71">
        <f t="shared" si="11"/>
        <v>2.7053879999999999E-2</v>
      </c>
      <c r="H91" s="71">
        <f t="shared" si="12"/>
        <v>2.4951754568518527E-2</v>
      </c>
      <c r="I91" s="71">
        <f t="shared" si="13"/>
        <v>0.14971052741111116</v>
      </c>
      <c r="J91" s="72">
        <v>600</v>
      </c>
      <c r="K91" s="75">
        <v>1037</v>
      </c>
      <c r="L91" s="74">
        <v>14</v>
      </c>
    </row>
    <row r="92" spans="1:14" x14ac:dyDescent="0.25">
      <c r="A92" s="69" t="s">
        <v>338</v>
      </c>
      <c r="B92" s="71">
        <f t="shared" si="6"/>
        <v>4.11522E-2</v>
      </c>
      <c r="C92" s="71">
        <f t="shared" si="7"/>
        <v>1.8179499999999998E-2</v>
      </c>
      <c r="D92" s="71">
        <f t="shared" si="8"/>
        <v>0</v>
      </c>
      <c r="E92" s="71">
        <f t="shared" si="9"/>
        <v>4.9646999999999998E-3</v>
      </c>
      <c r="F92" s="71">
        <f t="shared" si="10"/>
        <v>0</v>
      </c>
      <c r="G92" s="71">
        <f t="shared" si="11"/>
        <v>0</v>
      </c>
      <c r="H92" s="71">
        <f t="shared" si="12"/>
        <v>1.0716066666666668E-2</v>
      </c>
      <c r="I92" s="71">
        <f t="shared" si="13"/>
        <v>6.4296400000000004E-2</v>
      </c>
      <c r="J92" s="72">
        <v>450</v>
      </c>
      <c r="K92" s="73">
        <v>800</v>
      </c>
      <c r="L92" s="74">
        <v>8</v>
      </c>
    </row>
    <row r="93" spans="1:14" x14ac:dyDescent="0.25">
      <c r="A93" s="69" t="s">
        <v>70</v>
      </c>
      <c r="B93" s="71">
        <f t="shared" si="6"/>
        <v>2.0579666666666672E-3</v>
      </c>
      <c r="C93" s="71">
        <f t="shared" si="7"/>
        <v>1.6965129999999998E-2</v>
      </c>
      <c r="D93" s="71">
        <f t="shared" si="8"/>
        <v>5.7680000000000002E-2</v>
      </c>
      <c r="E93" s="71">
        <f t="shared" si="9"/>
        <v>1.6126499999999998E-2</v>
      </c>
      <c r="F93" s="71">
        <f t="shared" si="10"/>
        <v>2.6079861111111144E-2</v>
      </c>
      <c r="G93" s="71">
        <f t="shared" si="11"/>
        <v>2.6493199999999998E-2</v>
      </c>
      <c r="H93" s="71">
        <f t="shared" si="12"/>
        <v>2.4233776296296302E-2</v>
      </c>
      <c r="I93" s="71">
        <f t="shared" si="13"/>
        <v>0.14540265777777781</v>
      </c>
      <c r="J93" s="72">
        <v>550</v>
      </c>
      <c r="K93" s="73">
        <v>1276</v>
      </c>
      <c r="L93" s="74">
        <v>9</v>
      </c>
    </row>
    <row r="94" spans="1:14" x14ac:dyDescent="0.25">
      <c r="A94" s="69" t="s">
        <v>316</v>
      </c>
      <c r="B94" s="71">
        <f t="shared" si="6"/>
        <v>0</v>
      </c>
      <c r="C94" s="71">
        <f t="shared" si="7"/>
        <v>0</v>
      </c>
      <c r="D94" s="71">
        <f t="shared" si="8"/>
        <v>4.1200000000000001E-2</v>
      </c>
      <c r="E94" s="71">
        <f t="shared" si="9"/>
        <v>0</v>
      </c>
      <c r="F94" s="71">
        <f t="shared" si="10"/>
        <v>7.6312500000000002E-4</v>
      </c>
      <c r="G94" s="71">
        <f t="shared" si="11"/>
        <v>0</v>
      </c>
      <c r="H94" s="71">
        <f t="shared" si="12"/>
        <v>6.9938541666666673E-3</v>
      </c>
      <c r="I94" s="71">
        <f t="shared" si="13"/>
        <v>4.1963125000000004E-2</v>
      </c>
      <c r="J94" s="72">
        <v>300</v>
      </c>
      <c r="K94" s="73">
        <v>607</v>
      </c>
      <c r="L94" s="74">
        <v>3</v>
      </c>
    </row>
    <row r="95" spans="1:14" x14ac:dyDescent="0.25">
      <c r="A95" s="69" t="s">
        <v>317</v>
      </c>
      <c r="B95" s="71">
        <f t="shared" si="6"/>
        <v>0</v>
      </c>
      <c r="C95" s="71">
        <f t="shared" si="7"/>
        <v>1.1388298E-2</v>
      </c>
      <c r="D95" s="71">
        <f t="shared" si="8"/>
        <v>6.5260799999999992E-3</v>
      </c>
      <c r="E95" s="71">
        <f t="shared" si="9"/>
        <v>5.9966400000000003E-2</v>
      </c>
      <c r="F95" s="71">
        <f t="shared" si="10"/>
        <v>0</v>
      </c>
      <c r="G95" s="71">
        <f t="shared" si="11"/>
        <v>3.7196766666666631E-2</v>
      </c>
      <c r="H95" s="71">
        <f t="shared" si="12"/>
        <v>1.9179590777777773E-2</v>
      </c>
      <c r="I95" s="71">
        <f t="shared" si="13"/>
        <v>0.11507754466666663</v>
      </c>
      <c r="J95" s="72">
        <v>150</v>
      </c>
      <c r="K95" s="72">
        <v>155</v>
      </c>
      <c r="L95" s="74">
        <v>5</v>
      </c>
    </row>
    <row r="96" spans="1:14" x14ac:dyDescent="0.25">
      <c r="A96" s="69" t="s">
        <v>318</v>
      </c>
      <c r="B96" s="71">
        <f t="shared" si="6"/>
        <v>2.9256177777777753E-2</v>
      </c>
      <c r="C96" s="71">
        <f t="shared" si="7"/>
        <v>0</v>
      </c>
      <c r="D96" s="71">
        <f t="shared" si="8"/>
        <v>2.4719999999999999E-2</v>
      </c>
      <c r="E96" s="71">
        <f t="shared" si="9"/>
        <v>5.6159999999999995E-3</v>
      </c>
      <c r="F96" s="71">
        <f t="shared" si="10"/>
        <v>3.0409374999999968E-2</v>
      </c>
      <c r="G96" s="71">
        <f t="shared" si="11"/>
        <v>0</v>
      </c>
      <c r="H96" s="71">
        <f t="shared" si="12"/>
        <v>1.5000258796296287E-2</v>
      </c>
      <c r="I96" s="71">
        <f t="shared" si="13"/>
        <v>9.0001552777777716E-2</v>
      </c>
      <c r="J96" s="72">
        <v>450</v>
      </c>
      <c r="K96" s="73">
        <v>471</v>
      </c>
      <c r="L96" s="74">
        <v>16</v>
      </c>
    </row>
    <row r="97" spans="1:12" x14ac:dyDescent="0.25">
      <c r="A97" s="69" t="s">
        <v>324</v>
      </c>
      <c r="B97" s="71">
        <f t="shared" si="6"/>
        <v>3.2633112723809539E-2</v>
      </c>
      <c r="C97" s="71">
        <f t="shared" si="7"/>
        <v>6.3901989666666603E-2</v>
      </c>
      <c r="D97" s="71">
        <f t="shared" si="8"/>
        <v>3.4608E-2</v>
      </c>
      <c r="E97" s="71">
        <f t="shared" si="9"/>
        <v>0</v>
      </c>
      <c r="F97" s="71">
        <f t="shared" si="10"/>
        <v>8.6492638888888886E-3</v>
      </c>
      <c r="G97" s="71">
        <f t="shared" si="11"/>
        <v>0</v>
      </c>
      <c r="H97" s="71">
        <f t="shared" si="12"/>
        <v>2.3298727713227507E-2</v>
      </c>
      <c r="I97" s="71">
        <f t="shared" si="13"/>
        <v>0.13979236627936503</v>
      </c>
      <c r="J97" s="72">
        <v>300</v>
      </c>
      <c r="K97" s="73">
        <v>394</v>
      </c>
      <c r="L97" s="74">
        <v>2</v>
      </c>
    </row>
    <row r="98" spans="1:12" x14ac:dyDescent="0.25">
      <c r="A98" s="69" t="s">
        <v>339</v>
      </c>
      <c r="B98" s="71">
        <f t="shared" si="6"/>
        <v>0</v>
      </c>
      <c r="C98" s="71">
        <f t="shared" si="7"/>
        <v>1.3712369399999999E-2</v>
      </c>
      <c r="D98" s="71">
        <f t="shared" si="8"/>
        <v>0</v>
      </c>
      <c r="E98" s="71">
        <f t="shared" si="9"/>
        <v>1.01673E-3</v>
      </c>
      <c r="F98" s="71">
        <f t="shared" si="10"/>
        <v>0</v>
      </c>
      <c r="G98" s="71">
        <f t="shared" si="11"/>
        <v>0</v>
      </c>
      <c r="H98" s="71">
        <f t="shared" si="12"/>
        <v>2.4548498999999997E-3</v>
      </c>
      <c r="I98" s="71">
        <f t="shared" si="13"/>
        <v>1.4729099399999999E-2</v>
      </c>
      <c r="J98" s="72">
        <v>500</v>
      </c>
      <c r="K98" s="75">
        <v>512</v>
      </c>
      <c r="L98" s="74">
        <v>13</v>
      </c>
    </row>
    <row r="99" spans="1:12" x14ac:dyDescent="0.25">
      <c r="A99" s="69" t="s">
        <v>334</v>
      </c>
      <c r="B99" s="71">
        <f t="shared" si="6"/>
        <v>2.4695600000000002E-2</v>
      </c>
      <c r="C99" s="71">
        <f t="shared" si="7"/>
        <v>0</v>
      </c>
      <c r="D99" s="71">
        <f t="shared" si="8"/>
        <v>0</v>
      </c>
      <c r="E99" s="71">
        <f t="shared" si="9"/>
        <v>0</v>
      </c>
      <c r="F99" s="71">
        <f t="shared" si="10"/>
        <v>3.0833333333333359E-3</v>
      </c>
      <c r="G99" s="71">
        <f t="shared" si="11"/>
        <v>0</v>
      </c>
      <c r="H99" s="71">
        <f t="shared" si="12"/>
        <v>4.6298222222222228E-3</v>
      </c>
      <c r="I99" s="71">
        <f t="shared" si="13"/>
        <v>2.7778933333333339E-2</v>
      </c>
      <c r="J99" s="72">
        <v>200</v>
      </c>
      <c r="K99" s="73">
        <v>600</v>
      </c>
      <c r="L99" s="74">
        <v>1</v>
      </c>
    </row>
    <row r="100" spans="1:12" x14ac:dyDescent="0.25">
      <c r="A100" s="69" t="s">
        <v>335</v>
      </c>
      <c r="B100" s="71">
        <f t="shared" si="6"/>
        <v>0</v>
      </c>
      <c r="C100" s="71">
        <f t="shared" si="7"/>
        <v>1.615211666666666E-2</v>
      </c>
      <c r="D100" s="71">
        <f t="shared" si="8"/>
        <v>0</v>
      </c>
      <c r="E100" s="71">
        <f t="shared" si="9"/>
        <v>3.1496400000000001E-2</v>
      </c>
      <c r="F100" s="71">
        <f t="shared" si="10"/>
        <v>0</v>
      </c>
      <c r="G100" s="71">
        <f t="shared" si="11"/>
        <v>5.6431800000000002E-3</v>
      </c>
      <c r="H100" s="71">
        <f t="shared" si="12"/>
        <v>8.8819494444444431E-3</v>
      </c>
      <c r="I100" s="71">
        <f t="shared" si="13"/>
        <v>5.3291696666666659E-2</v>
      </c>
      <c r="J100" s="72">
        <v>300</v>
      </c>
      <c r="K100" s="75">
        <v>610</v>
      </c>
      <c r="L100" s="74">
        <v>17</v>
      </c>
    </row>
    <row r="101" spans="1:12" x14ac:dyDescent="0.25">
      <c r="A101" s="69" t="s">
        <v>336</v>
      </c>
      <c r="B101" s="71">
        <f t="shared" si="6"/>
        <v>3.5268713285714196E-2</v>
      </c>
      <c r="C101" s="71">
        <f t="shared" si="7"/>
        <v>2.1206412500000001E-2</v>
      </c>
      <c r="D101" s="71">
        <f t="shared" si="8"/>
        <v>3.0487999999999998E-2</v>
      </c>
      <c r="E101" s="71">
        <f t="shared" si="9"/>
        <v>0</v>
      </c>
      <c r="F101" s="71">
        <f t="shared" si="10"/>
        <v>3.0767812499999998E-2</v>
      </c>
      <c r="G101" s="71">
        <f t="shared" si="11"/>
        <v>0</v>
      </c>
      <c r="H101" s="71">
        <f t="shared" si="12"/>
        <v>1.962182304761903E-2</v>
      </c>
      <c r="I101" s="71">
        <f t="shared" si="13"/>
        <v>0.11773093828571418</v>
      </c>
      <c r="J101" s="72">
        <v>400</v>
      </c>
      <c r="K101" s="73">
        <v>500</v>
      </c>
      <c r="L101" s="74">
        <v>7</v>
      </c>
    </row>
    <row r="102" spans="1:12" x14ac:dyDescent="0.25">
      <c r="A102" s="69" t="s">
        <v>361</v>
      </c>
      <c r="B102" s="71">
        <f t="shared" si="6"/>
        <v>0</v>
      </c>
      <c r="C102" s="71">
        <f t="shared" si="7"/>
        <v>0</v>
      </c>
      <c r="D102" s="71">
        <f t="shared" si="8"/>
        <v>0</v>
      </c>
      <c r="E102" s="71">
        <f t="shared" si="9"/>
        <v>0</v>
      </c>
      <c r="F102" s="71">
        <f t="shared" si="10"/>
        <v>1.0277777777777778E-3</v>
      </c>
      <c r="G102" s="71">
        <f t="shared" si="11"/>
        <v>0</v>
      </c>
      <c r="H102" s="71">
        <f t="shared" si="12"/>
        <v>1.7129629629629632E-4</v>
      </c>
      <c r="I102" s="71">
        <f t="shared" si="13"/>
        <v>1.0277777777777778E-3</v>
      </c>
      <c r="J102" s="72">
        <v>450</v>
      </c>
      <c r="K102" s="75">
        <v>521</v>
      </c>
      <c r="L102" s="74">
        <v>12</v>
      </c>
    </row>
    <row r="103" spans="1:12" x14ac:dyDescent="0.25">
      <c r="A103" s="69" t="s">
        <v>327</v>
      </c>
      <c r="B103" s="71">
        <f t="shared" si="6"/>
        <v>0</v>
      </c>
      <c r="C103" s="71">
        <f t="shared" si="7"/>
        <v>6.0563999999999991E-3</v>
      </c>
      <c r="D103" s="71">
        <f t="shared" si="8"/>
        <v>0</v>
      </c>
      <c r="E103" s="71">
        <f t="shared" si="9"/>
        <v>1.9109999999999999E-2</v>
      </c>
      <c r="F103" s="71">
        <f t="shared" si="10"/>
        <v>0</v>
      </c>
      <c r="G103" s="71">
        <f t="shared" si="11"/>
        <v>3.0601999999999997E-2</v>
      </c>
      <c r="H103" s="71">
        <f t="shared" si="12"/>
        <v>9.2947333333333326E-3</v>
      </c>
      <c r="I103" s="71">
        <f t="shared" si="13"/>
        <v>5.5768399999999996E-2</v>
      </c>
      <c r="J103" s="72">
        <v>350</v>
      </c>
      <c r="K103" s="72">
        <v>361</v>
      </c>
      <c r="L103" s="74">
        <v>11</v>
      </c>
    </row>
    <row r="104" spans="1:12" ht="15.75" thickBot="1" x14ac:dyDescent="0.3">
      <c r="A104" s="70" t="s">
        <v>333</v>
      </c>
      <c r="B104" s="71">
        <f t="shared" si="6"/>
        <v>0</v>
      </c>
      <c r="C104" s="71">
        <f t="shared" si="7"/>
        <v>8.0786333333333401E-3</v>
      </c>
      <c r="D104" s="71">
        <f t="shared" si="8"/>
        <v>1.9775999999999998E-2</v>
      </c>
      <c r="E104" s="71">
        <f t="shared" si="9"/>
        <v>3.2760000000000003E-3</v>
      </c>
      <c r="F104" s="71">
        <f t="shared" si="10"/>
        <v>0</v>
      </c>
      <c r="G104" s="71">
        <f t="shared" si="11"/>
        <v>1.8814166666666632E-2</v>
      </c>
      <c r="H104" s="76">
        <f t="shared" si="12"/>
        <v>8.3241333333333289E-3</v>
      </c>
      <c r="I104" s="71">
        <f t="shared" si="13"/>
        <v>4.994479999999997E-2</v>
      </c>
      <c r="J104" s="77">
        <v>650</v>
      </c>
      <c r="K104" s="78">
        <v>798</v>
      </c>
      <c r="L104" s="79">
        <v>15</v>
      </c>
    </row>
    <row r="106" spans="1:12" x14ac:dyDescent="0.25">
      <c r="A106" s="94" t="s">
        <v>69</v>
      </c>
      <c r="B106" s="94" t="s">
        <v>58</v>
      </c>
      <c r="C106" s="94" t="s">
        <v>59</v>
      </c>
      <c r="D106" s="94" t="s">
        <v>60</v>
      </c>
      <c r="E106" s="94" t="s">
        <v>61</v>
      </c>
      <c r="F106" s="94" t="s">
        <v>62</v>
      </c>
      <c r="G106" s="94" t="s">
        <v>63</v>
      </c>
      <c r="H106" t="s">
        <v>64</v>
      </c>
      <c r="I106" t="s">
        <v>65</v>
      </c>
      <c r="J106" t="s">
        <v>363</v>
      </c>
      <c r="K106" t="s">
        <v>364</v>
      </c>
      <c r="L106" t="s">
        <v>365</v>
      </c>
    </row>
    <row r="107" spans="1:12" x14ac:dyDescent="0.25">
      <c r="A107" s="95" t="s">
        <v>328</v>
      </c>
      <c r="B107" s="98">
        <v>0</v>
      </c>
      <c r="C107" s="98">
        <v>5.0661109633333395E-2</v>
      </c>
      <c r="D107" s="98">
        <v>4.9439999999999998E-2</v>
      </c>
      <c r="E107" s="98">
        <v>1.875276E-2</v>
      </c>
      <c r="F107" s="98">
        <v>3.8027777777777825E-3</v>
      </c>
      <c r="G107" s="98">
        <v>2.7053879999999999E-2</v>
      </c>
      <c r="H107">
        <v>2.4951754568518527E-2</v>
      </c>
      <c r="I107">
        <v>0.14971052741111116</v>
      </c>
      <c r="J107">
        <v>600</v>
      </c>
      <c r="K107">
        <v>1037</v>
      </c>
      <c r="L107">
        <v>14</v>
      </c>
    </row>
    <row r="108" spans="1:12" x14ac:dyDescent="0.25">
      <c r="A108" s="95" t="s">
        <v>70</v>
      </c>
      <c r="B108" s="98">
        <v>2.0579666666666672E-3</v>
      </c>
      <c r="C108" s="98">
        <v>1.6965129999999998E-2</v>
      </c>
      <c r="D108" s="98">
        <v>5.7680000000000002E-2</v>
      </c>
      <c r="E108" s="98">
        <v>1.6126499999999998E-2</v>
      </c>
      <c r="F108" s="98">
        <v>2.6079861111111144E-2</v>
      </c>
      <c r="G108" s="98">
        <v>2.6493199999999998E-2</v>
      </c>
      <c r="H108">
        <v>2.4233776296296302E-2</v>
      </c>
      <c r="I108">
        <v>0.14540265777777781</v>
      </c>
      <c r="J108">
        <v>550</v>
      </c>
      <c r="K108">
        <v>1276</v>
      </c>
      <c r="L108">
        <v>9</v>
      </c>
    </row>
    <row r="109" spans="1:12" x14ac:dyDescent="0.25">
      <c r="A109" s="95" t="s">
        <v>324</v>
      </c>
      <c r="B109" s="98">
        <v>3.2633112723809539E-2</v>
      </c>
      <c r="C109" s="98">
        <v>6.3901989666666603E-2</v>
      </c>
      <c r="D109" s="98">
        <v>3.4608E-2</v>
      </c>
      <c r="E109" s="98">
        <v>0</v>
      </c>
      <c r="F109" s="98">
        <v>8.6492638888888886E-3</v>
      </c>
      <c r="G109" s="98">
        <v>0</v>
      </c>
      <c r="H109">
        <v>2.3298727713227507E-2</v>
      </c>
      <c r="I109">
        <v>0.13979236627936503</v>
      </c>
      <c r="J109">
        <v>300</v>
      </c>
      <c r="K109">
        <v>394</v>
      </c>
      <c r="L109">
        <v>2</v>
      </c>
    </row>
    <row r="110" spans="1:12" x14ac:dyDescent="0.25">
      <c r="A110" s="95" t="s">
        <v>336</v>
      </c>
      <c r="B110" s="98">
        <v>3.5268713285714196E-2</v>
      </c>
      <c r="C110" s="98">
        <v>2.1206412500000001E-2</v>
      </c>
      <c r="D110" s="98">
        <v>3.0487999999999998E-2</v>
      </c>
      <c r="E110" s="98">
        <v>0</v>
      </c>
      <c r="F110" s="98">
        <v>3.0767812499999998E-2</v>
      </c>
      <c r="G110" s="98">
        <v>0</v>
      </c>
      <c r="H110">
        <v>1.962182304761903E-2</v>
      </c>
      <c r="I110">
        <v>0.11773093828571418</v>
      </c>
      <c r="J110">
        <v>400</v>
      </c>
      <c r="K110">
        <v>500</v>
      </c>
      <c r="L110">
        <v>7</v>
      </c>
    </row>
    <row r="111" spans="1:12" x14ac:dyDescent="0.25">
      <c r="A111" s="95" t="s">
        <v>317</v>
      </c>
      <c r="B111" s="98">
        <v>0</v>
      </c>
      <c r="C111" s="98">
        <v>1.1388298E-2</v>
      </c>
      <c r="D111" s="98">
        <v>6.5260799999999992E-3</v>
      </c>
      <c r="E111" s="98">
        <v>5.9966400000000003E-2</v>
      </c>
      <c r="F111" s="98">
        <v>0</v>
      </c>
      <c r="G111" s="98">
        <v>3.7196766666666631E-2</v>
      </c>
      <c r="H111">
        <v>1.9179590777777773E-2</v>
      </c>
      <c r="I111">
        <v>0.11507754466666663</v>
      </c>
      <c r="J111">
        <v>150</v>
      </c>
      <c r="K111">
        <v>155</v>
      </c>
      <c r="L111">
        <v>5</v>
      </c>
    </row>
    <row r="112" spans="1:12" x14ac:dyDescent="0.25">
      <c r="A112" s="95" t="s">
        <v>318</v>
      </c>
      <c r="B112" s="98">
        <v>2.9256177777777753E-2</v>
      </c>
      <c r="C112" s="98">
        <v>0</v>
      </c>
      <c r="D112" s="98">
        <v>2.4719999999999999E-2</v>
      </c>
      <c r="E112" s="98">
        <v>5.6159999999999995E-3</v>
      </c>
      <c r="F112" s="98">
        <v>3.0409374999999968E-2</v>
      </c>
      <c r="G112" s="98">
        <v>0</v>
      </c>
      <c r="H112">
        <v>1.5000258796296287E-2</v>
      </c>
      <c r="I112">
        <v>9.0001552777777716E-2</v>
      </c>
      <c r="J112">
        <v>450</v>
      </c>
      <c r="K112">
        <v>471</v>
      </c>
      <c r="L112">
        <v>16</v>
      </c>
    </row>
    <row r="113" spans="1:12" x14ac:dyDescent="0.25">
      <c r="A113" s="95" t="s">
        <v>319</v>
      </c>
      <c r="B113" s="98">
        <v>3.0869500000000002E-3</v>
      </c>
      <c r="C113" s="98">
        <v>3.6353849999999993E-2</v>
      </c>
      <c r="D113" s="98">
        <v>2.9663999999999996E-2</v>
      </c>
      <c r="E113" s="98">
        <v>9.2429999999999995E-3</v>
      </c>
      <c r="F113" s="98">
        <v>1.541666666666668E-3</v>
      </c>
      <c r="G113" s="98">
        <v>8.6926800000000012E-3</v>
      </c>
      <c r="H113">
        <v>1.4763691111111111E-2</v>
      </c>
      <c r="I113">
        <v>8.8582146666666667E-2</v>
      </c>
      <c r="J113">
        <v>800</v>
      </c>
      <c r="K113">
        <v>1628</v>
      </c>
      <c r="L113">
        <v>10</v>
      </c>
    </row>
    <row r="114" spans="1:12" x14ac:dyDescent="0.25">
      <c r="A114" s="95" t="s">
        <v>338</v>
      </c>
      <c r="B114" s="98">
        <v>4.11522E-2</v>
      </c>
      <c r="C114" s="98">
        <v>1.8179499999999998E-2</v>
      </c>
      <c r="D114" s="98">
        <v>0</v>
      </c>
      <c r="E114" s="98">
        <v>4.9646999999999998E-3</v>
      </c>
      <c r="F114" s="98">
        <v>0</v>
      </c>
      <c r="G114" s="98">
        <v>0</v>
      </c>
      <c r="H114">
        <v>1.0716066666666668E-2</v>
      </c>
      <c r="I114">
        <v>6.4296400000000004E-2</v>
      </c>
      <c r="J114">
        <v>450</v>
      </c>
      <c r="K114">
        <v>800</v>
      </c>
      <c r="L114">
        <v>8</v>
      </c>
    </row>
    <row r="115" spans="1:12" x14ac:dyDescent="0.25">
      <c r="A115" s="95" t="s">
        <v>327</v>
      </c>
      <c r="B115" s="98">
        <v>0</v>
      </c>
      <c r="C115" s="98">
        <v>6.0563999999999991E-3</v>
      </c>
      <c r="D115" s="98">
        <v>0</v>
      </c>
      <c r="E115" s="98">
        <v>1.9109999999999999E-2</v>
      </c>
      <c r="F115" s="98">
        <v>0</v>
      </c>
      <c r="G115" s="98">
        <v>3.0601999999999997E-2</v>
      </c>
      <c r="H115">
        <v>9.2947333333333326E-3</v>
      </c>
      <c r="I115">
        <v>5.5768399999999996E-2</v>
      </c>
      <c r="J115">
        <v>350</v>
      </c>
      <c r="K115">
        <v>361</v>
      </c>
      <c r="L115">
        <v>11</v>
      </c>
    </row>
    <row r="116" spans="1:12" x14ac:dyDescent="0.25">
      <c r="A116" s="95" t="s">
        <v>315</v>
      </c>
      <c r="B116" s="98">
        <v>0</v>
      </c>
      <c r="C116" s="98">
        <v>2.0591759999999998E-3</v>
      </c>
      <c r="D116" s="98">
        <v>0</v>
      </c>
      <c r="E116" s="98">
        <v>4.4771999999999999E-2</v>
      </c>
      <c r="F116" s="98">
        <v>6.6805555555555576E-3</v>
      </c>
      <c r="G116" s="98">
        <v>0</v>
      </c>
      <c r="H116">
        <v>8.9186219259259261E-3</v>
      </c>
      <c r="I116">
        <v>5.351173155555556E-2</v>
      </c>
      <c r="J116">
        <v>300</v>
      </c>
      <c r="K116">
        <v>452</v>
      </c>
      <c r="L116">
        <v>6</v>
      </c>
    </row>
    <row r="117" spans="1:12" x14ac:dyDescent="0.25">
      <c r="A117" s="95" t="s">
        <v>335</v>
      </c>
      <c r="B117" s="98">
        <v>0</v>
      </c>
      <c r="C117" s="98">
        <v>1.615211666666666E-2</v>
      </c>
      <c r="D117" s="98">
        <v>0</v>
      </c>
      <c r="E117" s="98">
        <v>3.1496400000000001E-2</v>
      </c>
      <c r="F117" s="98">
        <v>0</v>
      </c>
      <c r="G117" s="98">
        <v>5.6431800000000002E-3</v>
      </c>
      <c r="H117">
        <v>8.8819494444444431E-3</v>
      </c>
      <c r="I117">
        <v>5.3291696666666659E-2</v>
      </c>
      <c r="J117">
        <v>300</v>
      </c>
      <c r="K117">
        <v>610</v>
      </c>
      <c r="L117">
        <v>17</v>
      </c>
    </row>
    <row r="118" spans="1:12" x14ac:dyDescent="0.25">
      <c r="A118" s="95" t="s">
        <v>314</v>
      </c>
      <c r="B118" s="98">
        <v>2.05761E-2</v>
      </c>
      <c r="C118" s="98">
        <v>3.0299166666666599E-2</v>
      </c>
      <c r="D118" s="98">
        <v>0</v>
      </c>
      <c r="E118" s="98">
        <v>0</v>
      </c>
      <c r="F118" s="98">
        <v>0</v>
      </c>
      <c r="G118" s="98">
        <v>0</v>
      </c>
      <c r="H118">
        <v>8.4792111111110999E-3</v>
      </c>
      <c r="I118">
        <v>5.0875266666666599E-2</v>
      </c>
      <c r="J118">
        <v>700</v>
      </c>
      <c r="K118">
        <v>1680</v>
      </c>
      <c r="L118">
        <v>4</v>
      </c>
    </row>
    <row r="119" spans="1:12" x14ac:dyDescent="0.25">
      <c r="A119" s="95" t="s">
        <v>333</v>
      </c>
      <c r="B119" s="98">
        <v>0</v>
      </c>
      <c r="C119" s="98">
        <v>8.0786333333333401E-3</v>
      </c>
      <c r="D119" s="98">
        <v>1.9775999999999998E-2</v>
      </c>
      <c r="E119" s="98">
        <v>3.2760000000000003E-3</v>
      </c>
      <c r="F119" s="98">
        <v>0</v>
      </c>
      <c r="G119" s="98">
        <v>1.8814166666666632E-2</v>
      </c>
      <c r="H119">
        <v>8.3241333333333289E-3</v>
      </c>
      <c r="I119">
        <v>4.994479999999997E-2</v>
      </c>
      <c r="J119">
        <v>650</v>
      </c>
      <c r="K119">
        <v>798</v>
      </c>
      <c r="L119">
        <v>15</v>
      </c>
    </row>
    <row r="120" spans="1:12" x14ac:dyDescent="0.25">
      <c r="A120" s="95" t="s">
        <v>316</v>
      </c>
      <c r="B120" s="98">
        <v>0</v>
      </c>
      <c r="C120" s="98">
        <v>0</v>
      </c>
      <c r="D120" s="98">
        <v>4.1200000000000001E-2</v>
      </c>
      <c r="E120" s="98">
        <v>0</v>
      </c>
      <c r="F120" s="98">
        <v>7.6312500000000002E-4</v>
      </c>
      <c r="G120" s="98">
        <v>0</v>
      </c>
      <c r="H120">
        <v>6.9938541666666673E-3</v>
      </c>
      <c r="I120">
        <v>4.1963125000000004E-2</v>
      </c>
      <c r="J120">
        <v>300</v>
      </c>
      <c r="K120">
        <v>607</v>
      </c>
      <c r="L120">
        <v>3</v>
      </c>
    </row>
    <row r="121" spans="1:12" x14ac:dyDescent="0.25">
      <c r="A121" s="95" t="s">
        <v>334</v>
      </c>
      <c r="B121" s="98">
        <v>2.4695600000000002E-2</v>
      </c>
      <c r="C121" s="98">
        <v>0</v>
      </c>
      <c r="D121" s="98">
        <v>0</v>
      </c>
      <c r="E121" s="98">
        <v>0</v>
      </c>
      <c r="F121" s="98">
        <v>3.0833333333333359E-3</v>
      </c>
      <c r="G121" s="98">
        <v>0</v>
      </c>
      <c r="H121">
        <v>4.6298222222222228E-3</v>
      </c>
      <c r="I121">
        <v>2.7778933333333339E-2</v>
      </c>
      <c r="J121">
        <v>200</v>
      </c>
      <c r="K121">
        <v>600</v>
      </c>
      <c r="L121">
        <v>1</v>
      </c>
    </row>
    <row r="122" spans="1:12" x14ac:dyDescent="0.25">
      <c r="A122" s="95" t="s">
        <v>339</v>
      </c>
      <c r="B122" s="98">
        <v>0</v>
      </c>
      <c r="C122" s="98">
        <v>1.3712369399999999E-2</v>
      </c>
      <c r="D122" s="98">
        <v>0</v>
      </c>
      <c r="E122" s="98">
        <v>1.01673E-3</v>
      </c>
      <c r="F122" s="98">
        <v>0</v>
      </c>
      <c r="G122" s="98">
        <v>0</v>
      </c>
      <c r="H122">
        <v>2.4548498999999997E-3</v>
      </c>
      <c r="I122">
        <v>1.4729099399999999E-2</v>
      </c>
      <c r="J122">
        <v>500</v>
      </c>
      <c r="K122">
        <v>512</v>
      </c>
      <c r="L122">
        <v>13</v>
      </c>
    </row>
    <row r="123" spans="1:12" ht="15.75" thickBot="1" x14ac:dyDescent="0.3">
      <c r="A123" s="96" t="s">
        <v>361</v>
      </c>
      <c r="B123" s="98">
        <v>0</v>
      </c>
      <c r="C123" s="98">
        <v>0</v>
      </c>
      <c r="D123" s="98">
        <v>0</v>
      </c>
      <c r="E123" s="98">
        <v>0</v>
      </c>
      <c r="F123" s="98">
        <v>1.0277777777777778E-3</v>
      </c>
      <c r="G123" s="98">
        <v>0</v>
      </c>
      <c r="H123">
        <v>1.7129629629629632E-4</v>
      </c>
      <c r="I123">
        <v>1.0277777777777778E-3</v>
      </c>
      <c r="J123">
        <v>450</v>
      </c>
      <c r="K123">
        <v>521</v>
      </c>
      <c r="L123">
        <v>12</v>
      </c>
    </row>
  </sheetData>
  <sortState ref="A107:L123">
    <sortCondition descending="1" ref="I107:I123"/>
  </sortState>
  <mergeCells count="1">
    <mergeCell ref="N2:N3"/>
  </mergeCells>
  <conditionalFormatting sqref="B2:G18">
    <cfRule type="cellIs" dxfId="35" priority="46" operator="greaterThan">
      <formula>0.2</formula>
    </cfRule>
    <cfRule type="cellIs" dxfId="34" priority="47" operator="greaterThan">
      <formula>0.1</formula>
    </cfRule>
    <cfRule type="cellIs" dxfId="33" priority="48" operator="greaterThan">
      <formula>0</formula>
    </cfRule>
  </conditionalFormatting>
  <conditionalFormatting sqref="G67:G83">
    <cfRule type="cellIs" dxfId="32" priority="16" operator="greaterThan">
      <formula>0.2</formula>
    </cfRule>
    <cfRule type="cellIs" dxfId="31" priority="17" operator="greaterThan">
      <formula>0.1</formula>
    </cfRule>
    <cfRule type="cellIs" dxfId="30" priority="18" operator="greaterThan">
      <formula>0</formula>
    </cfRule>
  </conditionalFormatting>
  <conditionalFormatting sqref="B67:F83">
    <cfRule type="cellIs" dxfId="29" priority="19" operator="greaterThan">
      <formula>0.2</formula>
    </cfRule>
    <cfRule type="cellIs" dxfId="28" priority="20" operator="greaterThan">
      <formula>0.1</formula>
    </cfRule>
    <cfRule type="cellIs" dxfId="27" priority="21" operator="greaterThan">
      <formula>0</formula>
    </cfRule>
  </conditionalFormatting>
  <conditionalFormatting sqref="B24:F31 B33:F38 B32:G32 B40:F40 B39:G39">
    <cfRule type="cellIs" dxfId="26" priority="13" operator="greaterThan">
      <formula>0.2</formula>
    </cfRule>
    <cfRule type="cellIs" dxfId="25" priority="14" operator="greaterThan">
      <formula>0.1</formula>
    </cfRule>
    <cfRule type="cellIs" dxfId="24" priority="15" operator="greaterThan">
      <formula>0</formula>
    </cfRule>
  </conditionalFormatting>
  <conditionalFormatting sqref="G24:G31 G33:G38 G40">
    <cfRule type="cellIs" dxfId="23" priority="10" operator="greaterThan">
      <formula>0.2</formula>
    </cfRule>
    <cfRule type="cellIs" dxfId="22" priority="11" operator="greaterThan">
      <formula>0.1</formula>
    </cfRule>
    <cfRule type="cellIs" dxfId="21" priority="12" operator="greaterThan">
      <formula>0</formula>
    </cfRule>
  </conditionalFormatting>
  <conditionalFormatting sqref="B45:F52 B54:F61 B53:G53">
    <cfRule type="cellIs" dxfId="20" priority="7" operator="greaterThan">
      <formula>0.2</formula>
    </cfRule>
    <cfRule type="cellIs" dxfId="19" priority="8" operator="greaterThan">
      <formula>0.1</formula>
    </cfRule>
    <cfRule type="cellIs" dxfId="18" priority="9" operator="greaterThan">
      <formula>0</formula>
    </cfRule>
  </conditionalFormatting>
  <conditionalFormatting sqref="G45:G52 G54:G61">
    <cfRule type="cellIs" dxfId="17" priority="4" operator="greaterThan">
      <formula>0.2</formula>
    </cfRule>
    <cfRule type="cellIs" dxfId="16" priority="5" operator="greaterThan">
      <formula>0.1</formula>
    </cfRule>
    <cfRule type="cellIs" dxfId="15" priority="6" operator="greaterThan">
      <formula>0</formula>
    </cfRule>
  </conditionalFormatting>
  <conditionalFormatting sqref="B88:G104">
    <cfRule type="cellIs" dxfId="14" priority="1" operator="greaterThan">
      <formula>0.2</formula>
    </cfRule>
    <cfRule type="cellIs" dxfId="13" priority="2" operator="greaterThan">
      <formula>0.1</formula>
    </cfRule>
    <cfRule type="cellIs" dxfId="12" priority="3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82"/>
  <sheetViews>
    <sheetView topLeftCell="A31" zoomScale="70" zoomScaleNormal="70" workbookViewId="0">
      <selection sqref="A1:K1"/>
    </sheetView>
  </sheetViews>
  <sheetFormatPr defaultRowHeight="15" x14ac:dyDescent="0.25"/>
  <cols>
    <col min="1" max="1" width="17.28515625" bestFit="1" customWidth="1"/>
    <col min="2" max="2" width="8.85546875" bestFit="1" customWidth="1"/>
    <col min="3" max="3" width="8" bestFit="1" customWidth="1"/>
    <col min="4" max="4" width="7.28515625" bestFit="1" customWidth="1"/>
    <col min="5" max="6" width="7.140625" bestFit="1" customWidth="1"/>
    <col min="7" max="7" width="10.5703125" bestFit="1" customWidth="1"/>
    <col min="8" max="8" width="13.42578125" style="22" bestFit="1" customWidth="1"/>
    <col min="9" max="9" width="10.7109375" style="22" bestFit="1" customWidth="1"/>
    <col min="10" max="10" width="11.5703125" style="22" bestFit="1" customWidth="1"/>
    <col min="11" max="11" width="14.5703125" bestFit="1" customWidth="1"/>
    <col min="12" max="12" width="9.85546875" style="50" customWidth="1"/>
    <col min="13" max="13" width="16.28515625" bestFit="1" customWidth="1"/>
    <col min="14" max="14" width="17.42578125" bestFit="1" customWidth="1"/>
    <col min="19" max="19" width="11" bestFit="1" customWidth="1"/>
  </cols>
  <sheetData>
    <row r="1" spans="1:24" ht="15.75" thickBot="1" x14ac:dyDescent="0.3">
      <c r="A1" s="108" t="s">
        <v>308</v>
      </c>
      <c r="B1" s="109"/>
      <c r="C1" s="109"/>
      <c r="D1" s="109"/>
      <c r="E1" s="109"/>
      <c r="F1" s="109"/>
      <c r="G1" s="109"/>
      <c r="H1" s="109"/>
      <c r="I1" s="109"/>
      <c r="J1" s="109"/>
      <c r="K1" s="110"/>
      <c r="L1" s="29"/>
    </row>
    <row r="2" spans="1:24" x14ac:dyDescent="0.25">
      <c r="A2" s="30" t="s">
        <v>309</v>
      </c>
      <c r="B2" s="31" t="s">
        <v>58</v>
      </c>
      <c r="C2" s="31" t="s">
        <v>59</v>
      </c>
      <c r="D2" s="31" t="s">
        <v>60</v>
      </c>
      <c r="E2" s="31" t="s">
        <v>61</v>
      </c>
      <c r="F2" s="31" t="s">
        <v>62</v>
      </c>
      <c r="G2" s="31" t="s">
        <v>63</v>
      </c>
      <c r="H2" s="32" t="s">
        <v>310</v>
      </c>
      <c r="I2" s="32" t="s">
        <v>311</v>
      </c>
      <c r="J2" s="32" t="s">
        <v>312</v>
      </c>
      <c r="K2" s="33" t="s">
        <v>313</v>
      </c>
      <c r="L2" s="34"/>
      <c r="M2" s="100" t="s">
        <v>66</v>
      </c>
      <c r="N2" s="1" t="s">
        <v>58</v>
      </c>
      <c r="O2" s="1" t="s">
        <v>59</v>
      </c>
      <c r="P2" s="1" t="s">
        <v>60</v>
      </c>
      <c r="Q2" s="1" t="s">
        <v>61</v>
      </c>
      <c r="R2" s="1" t="s">
        <v>62</v>
      </c>
      <c r="S2" s="2" t="s">
        <v>63</v>
      </c>
    </row>
    <row r="3" spans="1:24" ht="15.75" thickBot="1" x14ac:dyDescent="0.3">
      <c r="A3" s="43" t="s">
        <v>314</v>
      </c>
      <c r="B3" s="35">
        <v>9.6149999999999999E-2</v>
      </c>
      <c r="C3" s="35">
        <v>0.14708333333333301</v>
      </c>
      <c r="D3" s="35">
        <v>0</v>
      </c>
      <c r="E3" s="35">
        <v>0</v>
      </c>
      <c r="F3" s="35">
        <v>0</v>
      </c>
      <c r="G3" s="35">
        <v>0</v>
      </c>
      <c r="H3" s="36">
        <f t="shared" ref="H3:H11" si="0">SUMPRODUCT($N$4:$S$4,B3:G3)</f>
        <v>0.21681388888888883</v>
      </c>
      <c r="I3" s="36">
        <f t="shared" ref="I3:I11" si="1">SUMPRODUCT($N$3:$S$3,B3:G3)</f>
        <v>5.0875266666666599E-2</v>
      </c>
      <c r="J3" s="37">
        <v>600</v>
      </c>
      <c r="K3" s="38">
        <f t="shared" ref="K3:K14" si="2">100000*I3/J3</f>
        <v>8.4792111111111002</v>
      </c>
      <c r="L3" s="39"/>
      <c r="M3" s="101"/>
      <c r="N3" s="3">
        <v>0.214</v>
      </c>
      <c r="O3" s="3">
        <v>0.20599999999999999</v>
      </c>
      <c r="P3" s="3">
        <v>0.20599999999999999</v>
      </c>
      <c r="Q3" s="3">
        <v>0.156</v>
      </c>
      <c r="R3" s="3">
        <v>0.111</v>
      </c>
      <c r="S3" s="4">
        <v>0.107</v>
      </c>
      <c r="V3" s="40">
        <v>1.92333333333333E-2</v>
      </c>
    </row>
    <row r="4" spans="1:24" x14ac:dyDescent="0.25">
      <c r="A4" s="43" t="s">
        <v>315</v>
      </c>
      <c r="B4" s="35">
        <v>0</v>
      </c>
      <c r="C4" s="35">
        <v>0</v>
      </c>
      <c r="D4" s="35">
        <v>0</v>
      </c>
      <c r="E4" s="35">
        <v>0.14349999999999999</v>
      </c>
      <c r="F4" s="35">
        <v>3.0092592592592601E-2</v>
      </c>
      <c r="G4" s="35">
        <v>0</v>
      </c>
      <c r="H4" s="36">
        <f t="shared" si="0"/>
        <v>2.8932098765432096E-2</v>
      </c>
      <c r="I4" s="36">
        <f t="shared" si="1"/>
        <v>2.5726277777777778E-2</v>
      </c>
      <c r="J4" s="37">
        <v>394</v>
      </c>
      <c r="K4" s="38">
        <f t="shared" si="2"/>
        <v>6.5295121263395375</v>
      </c>
      <c r="L4" s="39"/>
      <c r="M4" s="41" t="s">
        <v>310</v>
      </c>
      <c r="N4" s="41">
        <f>N3/S3</f>
        <v>2</v>
      </c>
      <c r="O4" s="41">
        <f>1/6</f>
        <v>0.16666666666666666</v>
      </c>
      <c r="P4" s="41">
        <f>1/6</f>
        <v>0.16666666666666666</v>
      </c>
      <c r="Q4" s="41">
        <f>1/6</f>
        <v>0.16666666666666666</v>
      </c>
      <c r="R4" s="41">
        <f>1/6</f>
        <v>0.16666666666666666</v>
      </c>
      <c r="S4" s="41">
        <f>1/6</f>
        <v>0.16666666666666666</v>
      </c>
      <c r="V4" s="42">
        <v>6.5361241833333306E-2</v>
      </c>
    </row>
    <row r="5" spans="1:24" x14ac:dyDescent="0.25">
      <c r="A5" s="43" t="s">
        <v>316</v>
      </c>
      <c r="B5" s="35">
        <v>0</v>
      </c>
      <c r="C5" s="35">
        <v>2.4510416666666701E-2</v>
      </c>
      <c r="D5" s="35">
        <v>9.6000000000000002E-2</v>
      </c>
      <c r="E5" s="35">
        <v>0</v>
      </c>
      <c r="F5" s="35">
        <v>4.1666666666666701E-3</v>
      </c>
      <c r="G5" s="35">
        <v>0</v>
      </c>
      <c r="H5" s="36">
        <f t="shared" si="0"/>
        <v>2.0779513888888896E-2</v>
      </c>
      <c r="I5" s="36">
        <f t="shared" si="1"/>
        <v>2.5287645833333341E-2</v>
      </c>
      <c r="J5" s="37">
        <v>500</v>
      </c>
      <c r="K5" s="38">
        <f t="shared" si="2"/>
        <v>5.0575291666666677</v>
      </c>
      <c r="L5" s="39"/>
      <c r="N5">
        <f t="shared" ref="N5:S5" si="3">N3/$S$3</f>
        <v>2</v>
      </c>
      <c r="O5">
        <f t="shared" si="3"/>
        <v>1.9252336448598131</v>
      </c>
      <c r="P5">
        <f t="shared" si="3"/>
        <v>1.9252336448598131</v>
      </c>
      <c r="Q5">
        <f t="shared" si="3"/>
        <v>1.4579439252336448</v>
      </c>
      <c r="R5">
        <f t="shared" si="3"/>
        <v>1.0373831775700935</v>
      </c>
      <c r="S5">
        <f t="shared" si="3"/>
        <v>1</v>
      </c>
      <c r="V5" s="40">
        <v>7.0000000000000007E-2</v>
      </c>
    </row>
    <row r="6" spans="1:24" x14ac:dyDescent="0.25">
      <c r="A6" s="43" t="s">
        <v>317</v>
      </c>
      <c r="B6" s="35">
        <v>0</v>
      </c>
      <c r="C6" s="35">
        <v>4.90083333333333E-2</v>
      </c>
      <c r="D6" s="35">
        <v>3.168E-2</v>
      </c>
      <c r="E6" s="35">
        <v>0.38440000000000002</v>
      </c>
      <c r="F6" s="35">
        <v>0</v>
      </c>
      <c r="G6" s="35">
        <v>0.34763333333333302</v>
      </c>
      <c r="H6" s="36">
        <f t="shared" si="0"/>
        <v>0.13545361111111104</v>
      </c>
      <c r="I6" s="36">
        <f t="shared" si="1"/>
        <v>0.11378496333333329</v>
      </c>
      <c r="J6" s="37">
        <v>800</v>
      </c>
      <c r="K6" s="38">
        <f t="shared" si="2"/>
        <v>14.223120416666662</v>
      </c>
      <c r="L6" s="39"/>
      <c r="V6" s="42">
        <v>1.2E-2</v>
      </c>
    </row>
    <row r="7" spans="1:24" x14ac:dyDescent="0.25">
      <c r="A7" s="43" t="s">
        <v>318</v>
      </c>
      <c r="B7" s="35">
        <v>0</v>
      </c>
      <c r="C7" s="35">
        <v>0</v>
      </c>
      <c r="D7" s="35">
        <v>0.14000000000000001</v>
      </c>
      <c r="E7" s="35">
        <v>3.5999999999999997E-2</v>
      </c>
      <c r="F7" s="35">
        <v>0.224236111111111</v>
      </c>
      <c r="G7" s="35">
        <v>0</v>
      </c>
      <c r="H7" s="36">
        <f t="shared" si="0"/>
        <v>6.6706018518518498E-2</v>
      </c>
      <c r="I7" s="36">
        <f t="shared" si="1"/>
        <v>5.9346208333333317E-2</v>
      </c>
      <c r="J7" s="37">
        <v>1276</v>
      </c>
      <c r="K7" s="38">
        <f t="shared" si="2"/>
        <v>4.6509567659352129</v>
      </c>
      <c r="L7" s="39"/>
      <c r="V7" s="40">
        <v>0.163351851851852</v>
      </c>
    </row>
    <row r="8" spans="1:24" x14ac:dyDescent="0.25">
      <c r="A8" s="43" t="s">
        <v>319</v>
      </c>
      <c r="B8" s="35">
        <v>0</v>
      </c>
      <c r="C8" s="35">
        <v>5.8825000000000002E-2</v>
      </c>
      <c r="D8" s="35">
        <v>0.14399999999999999</v>
      </c>
      <c r="E8" s="35">
        <v>1.1849999999999999E-2</v>
      </c>
      <c r="F8" s="35">
        <v>4.1666666666666701E-3</v>
      </c>
      <c r="G8" s="35">
        <v>7.5999999999999998E-2</v>
      </c>
      <c r="H8" s="36">
        <f t="shared" si="0"/>
        <v>4.9140277777777769E-2</v>
      </c>
      <c r="I8" s="36">
        <f t="shared" si="1"/>
        <v>5.2225049999999995E-2</v>
      </c>
      <c r="J8" s="37">
        <v>607</v>
      </c>
      <c r="K8" s="38">
        <f t="shared" si="2"/>
        <v>8.6037973640856666</v>
      </c>
      <c r="L8" s="39"/>
      <c r="V8" s="42">
        <v>0</v>
      </c>
    </row>
    <row r="9" spans="1:24" x14ac:dyDescent="0.25">
      <c r="A9" s="43" t="s">
        <v>320</v>
      </c>
      <c r="B9" s="35">
        <v>0</v>
      </c>
      <c r="C9" s="35">
        <v>0.11078708333333299</v>
      </c>
      <c r="D9" s="35">
        <v>0.24</v>
      </c>
      <c r="E9" s="35">
        <v>8.1625000000000003E-2</v>
      </c>
      <c r="F9" s="35">
        <v>3.4259259259259302E-2</v>
      </c>
      <c r="G9" s="35">
        <v>0.25284000000000001</v>
      </c>
      <c r="H9" s="36">
        <f t="shared" si="0"/>
        <v>0.11991855709876537</v>
      </c>
      <c r="I9" s="36">
        <f t="shared" si="1"/>
        <v>0.11585229694444438</v>
      </c>
      <c r="J9" s="37">
        <v>1680</v>
      </c>
      <c r="K9" s="38">
        <f t="shared" si="2"/>
        <v>6.8959700562169264</v>
      </c>
      <c r="L9" s="39"/>
    </row>
    <row r="10" spans="1:24" x14ac:dyDescent="0.25">
      <c r="A10" s="43" t="s">
        <v>70</v>
      </c>
      <c r="B10" s="35">
        <v>9.6166666666666692E-3</v>
      </c>
      <c r="C10" s="35">
        <v>5.0981666666666703E-2</v>
      </c>
      <c r="D10" s="35">
        <v>0.28000000000000003</v>
      </c>
      <c r="E10" s="35">
        <v>3.3875000000000002E-2</v>
      </c>
      <c r="F10" s="35">
        <v>0.234953703703704</v>
      </c>
      <c r="G10" s="35">
        <v>0.24759999999999999</v>
      </c>
      <c r="H10" s="36">
        <f t="shared" si="0"/>
        <v>0.16046839506172844</v>
      </c>
      <c r="I10" s="36">
        <f t="shared" si="1"/>
        <v>0.12809775111111116</v>
      </c>
      <c r="J10" s="37">
        <v>452</v>
      </c>
      <c r="K10" s="38">
        <f t="shared" si="2"/>
        <v>28.340210422812202</v>
      </c>
      <c r="L10" s="39"/>
    </row>
    <row r="11" spans="1:24" ht="15.75" thickBot="1" x14ac:dyDescent="0.3">
      <c r="A11" s="43" t="s">
        <v>321</v>
      </c>
      <c r="B11" s="35">
        <v>0</v>
      </c>
      <c r="C11" s="35">
        <v>2.9399999999999999E-2</v>
      </c>
      <c r="D11" s="35">
        <v>0</v>
      </c>
      <c r="E11" s="35">
        <v>0.1225</v>
      </c>
      <c r="F11" s="35">
        <v>0</v>
      </c>
      <c r="G11" s="35">
        <v>0.28599999999999998</v>
      </c>
      <c r="H11" s="36">
        <f t="shared" si="0"/>
        <v>7.2983333333333331E-2</v>
      </c>
      <c r="I11" s="36">
        <f t="shared" si="1"/>
        <v>5.5768399999999996E-2</v>
      </c>
      <c r="J11" s="37">
        <v>471</v>
      </c>
      <c r="K11" s="38">
        <f t="shared" si="2"/>
        <v>11.840424628450105</v>
      </c>
      <c r="L11" s="39"/>
      <c r="V11">
        <v>0.1923</v>
      </c>
      <c r="W11">
        <v>0</v>
      </c>
      <c r="X11">
        <v>4.3503428571428603E-2</v>
      </c>
    </row>
    <row r="12" spans="1:24" ht="15.75" thickBot="1" x14ac:dyDescent="0.3">
      <c r="A12" s="43" t="s">
        <v>323</v>
      </c>
      <c r="B12" s="35">
        <v>0</v>
      </c>
      <c r="C12" s="35">
        <v>8.6276666666666696E-2</v>
      </c>
      <c r="D12" s="35">
        <v>0.14399999999999999</v>
      </c>
      <c r="E12" s="35">
        <v>8.1625000000000003E-2</v>
      </c>
      <c r="F12" s="35">
        <v>3.0092592592592601E-2</v>
      </c>
      <c r="G12" s="35">
        <v>0.17684</v>
      </c>
      <c r="H12" s="36">
        <f>SUMPRODUCT($N$4:$S$4,B12:G12)</f>
        <v>8.6472376543209883E-2</v>
      </c>
      <c r="I12" s="36">
        <f>SUMPRODUCT($N$3:$S$3,B12:G12)</f>
        <v>8.2432651111111116E-2</v>
      </c>
      <c r="J12" s="37">
        <v>1100</v>
      </c>
      <c r="K12" s="38">
        <f t="shared" si="2"/>
        <v>7.4938773737373747</v>
      </c>
      <c r="L12" s="39"/>
      <c r="N12" s="1" t="s">
        <v>58</v>
      </c>
      <c r="O12" s="44">
        <v>5.8540219047618997E-2</v>
      </c>
      <c r="V12">
        <v>0.11765</v>
      </c>
      <c r="W12">
        <v>5.88333333333333E-2</v>
      </c>
      <c r="X12">
        <v>5.88333333333333E-2</v>
      </c>
    </row>
    <row r="13" spans="1:24" ht="15.75" thickBot="1" x14ac:dyDescent="0.3">
      <c r="A13" s="43" t="s">
        <v>324</v>
      </c>
      <c r="B13" s="35">
        <v>9.1358333333333402E-2</v>
      </c>
      <c r="C13" s="35">
        <v>0.24510416666666701</v>
      </c>
      <c r="D13" s="35">
        <v>0.16800000000000001</v>
      </c>
      <c r="E13" s="35">
        <v>0</v>
      </c>
      <c r="F13" s="35">
        <v>4.6296296296296301E-2</v>
      </c>
      <c r="G13" s="35">
        <v>0</v>
      </c>
      <c r="H13" s="36">
        <f>SUMPRODUCT($N$4:$S$4,B13:G13)</f>
        <v>0.25928341049382736</v>
      </c>
      <c r="I13" s="36">
        <f>SUMPRODUCT($N$3:$S$3,B13:G13)</f>
        <v>0.10978903055555564</v>
      </c>
      <c r="J13" s="37">
        <v>1628</v>
      </c>
      <c r="K13" s="38">
        <f>100000*I13/J13</f>
        <v>6.7437979456729504</v>
      </c>
      <c r="L13" s="39"/>
      <c r="N13" s="1" t="s">
        <v>59</v>
      </c>
      <c r="O13" s="44">
        <v>0.27452500000000002</v>
      </c>
    </row>
    <row r="14" spans="1:24" ht="15.75" thickBot="1" x14ac:dyDescent="0.3">
      <c r="A14" s="46" t="s">
        <v>325</v>
      </c>
      <c r="B14" s="35">
        <v>0</v>
      </c>
      <c r="C14" s="35">
        <v>4.4118749999999998E-2</v>
      </c>
      <c r="D14" s="35">
        <v>0.14399999999999999</v>
      </c>
      <c r="E14" s="35">
        <v>0</v>
      </c>
      <c r="F14" s="35">
        <v>4.1666666666666701E-3</v>
      </c>
      <c r="G14" s="35">
        <v>7.5999999999999998E-2</v>
      </c>
      <c r="H14" s="47">
        <f>SUMPRODUCT($N$4:$S$4,B14:G14)</f>
        <v>4.4714236111111104E-2</v>
      </c>
      <c r="I14" s="47">
        <f>SUMPRODUCT($N$3:$S$3,B14:G14)</f>
        <v>4.7346962499999992E-2</v>
      </c>
      <c r="J14" s="48">
        <v>580</v>
      </c>
      <c r="K14" s="49">
        <f t="shared" si="2"/>
        <v>8.1632693965517227</v>
      </c>
      <c r="L14" s="39"/>
      <c r="N14" s="1" t="s">
        <v>60</v>
      </c>
      <c r="O14" s="44">
        <v>0.34</v>
      </c>
    </row>
    <row r="15" spans="1:24" ht="15.75" thickBot="1" x14ac:dyDescent="0.3">
      <c r="A15" s="50"/>
      <c r="B15" s="51"/>
      <c r="C15" s="51"/>
      <c r="D15" s="51"/>
      <c r="E15" s="51"/>
      <c r="F15" s="51"/>
      <c r="G15" s="51"/>
      <c r="H15" s="52"/>
      <c r="I15" s="52"/>
      <c r="J15" s="53"/>
      <c r="K15" s="54"/>
      <c r="L15" s="39"/>
      <c r="N15" s="1" t="s">
        <v>61</v>
      </c>
      <c r="O15" s="44">
        <v>0.1225</v>
      </c>
    </row>
    <row r="16" spans="1:24" ht="15.75" thickBot="1" x14ac:dyDescent="0.3">
      <c r="A16" s="108" t="s">
        <v>326</v>
      </c>
      <c r="B16" s="109"/>
      <c r="C16" s="109"/>
      <c r="D16" s="109"/>
      <c r="E16" s="109"/>
      <c r="F16" s="109"/>
      <c r="G16" s="109"/>
      <c r="H16" s="109"/>
      <c r="I16" s="109"/>
      <c r="J16" s="109"/>
      <c r="K16" s="110"/>
      <c r="L16" s="39"/>
      <c r="N16" s="1" t="s">
        <v>62</v>
      </c>
      <c r="O16" s="44">
        <v>0.22824074074074099</v>
      </c>
      <c r="V16">
        <v>0</v>
      </c>
      <c r="W16">
        <v>0</v>
      </c>
      <c r="X16">
        <v>0.05</v>
      </c>
    </row>
    <row r="17" spans="1:24" x14ac:dyDescent="0.25">
      <c r="A17" s="30" t="s">
        <v>309</v>
      </c>
      <c r="B17" s="31" t="s">
        <v>58</v>
      </c>
      <c r="C17" s="31" t="s">
        <v>59</v>
      </c>
      <c r="D17" s="31" t="s">
        <v>60</v>
      </c>
      <c r="E17" s="31" t="s">
        <v>61</v>
      </c>
      <c r="F17" s="31" t="s">
        <v>62</v>
      </c>
      <c r="G17" s="31" t="s">
        <v>63</v>
      </c>
      <c r="H17" s="32" t="s">
        <v>310</v>
      </c>
      <c r="I17" s="32" t="s">
        <v>311</v>
      </c>
      <c r="J17" s="32" t="s">
        <v>312</v>
      </c>
      <c r="K17" s="33" t="s">
        <v>313</v>
      </c>
      <c r="L17" s="39"/>
      <c r="N17" s="2" t="s">
        <v>63</v>
      </c>
      <c r="O17" s="44">
        <v>0.28599999999999998</v>
      </c>
      <c r="V17">
        <v>0.1225</v>
      </c>
      <c r="W17">
        <v>2.375E-2</v>
      </c>
      <c r="X17">
        <v>2.375E-2</v>
      </c>
    </row>
    <row r="18" spans="1:24" x14ac:dyDescent="0.25">
      <c r="A18" s="43" t="s">
        <v>70</v>
      </c>
      <c r="B18" s="35">
        <v>9.6166666666666692E-3</v>
      </c>
      <c r="C18" s="35">
        <v>5.0981666666666703E-2</v>
      </c>
      <c r="D18" s="35">
        <v>0.28000000000000003</v>
      </c>
      <c r="E18" s="35">
        <v>3.3875000000000002E-2</v>
      </c>
      <c r="F18" s="35">
        <v>0.234953703703704</v>
      </c>
      <c r="G18" s="35">
        <v>0.24759999999999999</v>
      </c>
      <c r="H18" s="36">
        <f t="shared" ref="H18:H29" si="4">SUMPRODUCT($N$4:$S$4,B18:G18)</f>
        <v>0.16046839506172844</v>
      </c>
      <c r="I18" s="36">
        <f t="shared" ref="I18:I29" si="5">SUMPRODUCT($N$3:$S$3,B18:G18)</f>
        <v>0.12809775111111116</v>
      </c>
      <c r="J18" s="37">
        <v>452</v>
      </c>
      <c r="K18" s="38">
        <f t="shared" ref="K18:K29" si="6">100000*I18/J18</f>
        <v>28.340210422812202</v>
      </c>
      <c r="L18" s="39">
        <v>300</v>
      </c>
      <c r="M18" s="57">
        <f>100000*I18/L18</f>
        <v>42.699250370370386</v>
      </c>
      <c r="N18" s="13" t="s">
        <v>65</v>
      </c>
      <c r="O18" s="44">
        <v>0.21416647909841272</v>
      </c>
      <c r="V18">
        <v>0</v>
      </c>
      <c r="W18">
        <v>4.1593749999999999E-2</v>
      </c>
      <c r="X18">
        <v>0.126041666666667</v>
      </c>
    </row>
    <row r="19" spans="1:24" x14ac:dyDescent="0.25">
      <c r="A19" s="43" t="s">
        <v>317</v>
      </c>
      <c r="B19" s="35">
        <v>0</v>
      </c>
      <c r="C19" s="35">
        <v>4.90083333333333E-2</v>
      </c>
      <c r="D19" s="35">
        <v>3.168E-2</v>
      </c>
      <c r="E19" s="35">
        <v>0.38440000000000002</v>
      </c>
      <c r="F19" s="35">
        <v>0</v>
      </c>
      <c r="G19" s="35">
        <v>0.34763333333333302</v>
      </c>
      <c r="H19" s="36">
        <f t="shared" si="4"/>
        <v>0.13545361111111104</v>
      </c>
      <c r="I19" s="36">
        <f t="shared" si="5"/>
        <v>0.11378496333333329</v>
      </c>
      <c r="J19" s="37">
        <v>800</v>
      </c>
      <c r="K19" s="38">
        <f t="shared" si="6"/>
        <v>14.223120416666662</v>
      </c>
      <c r="L19" s="39">
        <v>450</v>
      </c>
      <c r="M19" s="57">
        <f t="shared" ref="M19:M29" si="7">100000*I19/L19</f>
        <v>25.285547407407396</v>
      </c>
      <c r="N19" s="13" t="s">
        <v>322</v>
      </c>
      <c r="O19" s="45">
        <v>107.08323954920635</v>
      </c>
    </row>
    <row r="20" spans="1:24" x14ac:dyDescent="0.25">
      <c r="A20" s="43" t="s">
        <v>321</v>
      </c>
      <c r="B20" s="35">
        <v>0</v>
      </c>
      <c r="C20" s="35">
        <v>2.9399999999999999E-2</v>
      </c>
      <c r="D20" s="35">
        <v>0</v>
      </c>
      <c r="E20" s="35">
        <v>0.1225</v>
      </c>
      <c r="F20" s="35">
        <v>0</v>
      </c>
      <c r="G20" s="35">
        <v>0.28599999999999998</v>
      </c>
      <c r="H20" s="36">
        <f t="shared" si="4"/>
        <v>7.2983333333333331E-2</v>
      </c>
      <c r="I20" s="36">
        <f t="shared" si="5"/>
        <v>5.5768399999999996E-2</v>
      </c>
      <c r="J20" s="37">
        <v>471</v>
      </c>
      <c r="K20" s="38">
        <f t="shared" si="6"/>
        <v>11.840424628450105</v>
      </c>
      <c r="L20" s="39">
        <v>450</v>
      </c>
      <c r="M20" s="57">
        <f t="shared" si="7"/>
        <v>12.392977777777777</v>
      </c>
    </row>
    <row r="21" spans="1:24" x14ac:dyDescent="0.25">
      <c r="A21" s="43" t="s">
        <v>319</v>
      </c>
      <c r="B21" s="35">
        <v>0</v>
      </c>
      <c r="C21" s="35">
        <v>5.8825000000000002E-2</v>
      </c>
      <c r="D21" s="35">
        <v>0.14399999999999999</v>
      </c>
      <c r="E21" s="35">
        <v>1.1849999999999999E-2</v>
      </c>
      <c r="F21" s="35">
        <v>4.1666666666666701E-3</v>
      </c>
      <c r="G21" s="35">
        <v>7.5999999999999998E-2</v>
      </c>
      <c r="H21" s="36">
        <f t="shared" si="4"/>
        <v>4.9140277777777769E-2</v>
      </c>
      <c r="I21" s="36">
        <f t="shared" si="5"/>
        <v>5.2225049999999995E-2</v>
      </c>
      <c r="J21" s="37">
        <v>607</v>
      </c>
      <c r="K21" s="38">
        <f t="shared" si="6"/>
        <v>8.6037973640856666</v>
      </c>
      <c r="L21" s="39">
        <v>300</v>
      </c>
      <c r="M21" s="57">
        <f t="shared" si="7"/>
        <v>17.408349999999999</v>
      </c>
    </row>
    <row r="22" spans="1:24" x14ac:dyDescent="0.25">
      <c r="A22" s="43" t="s">
        <v>314</v>
      </c>
      <c r="B22" s="35">
        <v>9.6149999999999999E-2</v>
      </c>
      <c r="C22" s="35">
        <v>0.14708333333333301</v>
      </c>
      <c r="D22" s="35">
        <v>0</v>
      </c>
      <c r="E22" s="35">
        <v>0</v>
      </c>
      <c r="F22" s="35">
        <v>0</v>
      </c>
      <c r="G22" s="35">
        <v>0</v>
      </c>
      <c r="H22" s="36">
        <f t="shared" si="4"/>
        <v>0.21681388888888883</v>
      </c>
      <c r="I22" s="36">
        <f t="shared" si="5"/>
        <v>5.0875266666666599E-2</v>
      </c>
      <c r="J22" s="37">
        <v>600</v>
      </c>
      <c r="K22" s="38">
        <f t="shared" si="6"/>
        <v>8.4792111111111002</v>
      </c>
      <c r="L22" s="39">
        <v>200</v>
      </c>
      <c r="M22" s="57">
        <f t="shared" si="7"/>
        <v>25.437633333333302</v>
      </c>
    </row>
    <row r="23" spans="1:24" x14ac:dyDescent="0.25">
      <c r="A23" s="43" t="s">
        <v>325</v>
      </c>
      <c r="B23" s="35">
        <v>0</v>
      </c>
      <c r="C23" s="35">
        <v>4.4118749999999998E-2</v>
      </c>
      <c r="D23" s="35">
        <v>0.14399999999999999</v>
      </c>
      <c r="E23" s="35">
        <v>0</v>
      </c>
      <c r="F23" s="35">
        <v>4.1666666666666701E-3</v>
      </c>
      <c r="G23" s="35">
        <v>7.5999999999999998E-2</v>
      </c>
      <c r="H23" s="36">
        <f t="shared" si="4"/>
        <v>4.4714236111111104E-2</v>
      </c>
      <c r="I23" s="36">
        <f t="shared" si="5"/>
        <v>4.7346962499999992E-2</v>
      </c>
      <c r="J23" s="37">
        <v>580</v>
      </c>
      <c r="K23" s="38">
        <f t="shared" si="6"/>
        <v>8.1632693965517227</v>
      </c>
      <c r="L23" s="39">
        <v>350</v>
      </c>
      <c r="M23" s="57">
        <f t="shared" si="7"/>
        <v>13.527703571428569</v>
      </c>
    </row>
    <row r="24" spans="1:24" x14ac:dyDescent="0.25">
      <c r="A24" s="43" t="s">
        <v>323</v>
      </c>
      <c r="B24" s="35">
        <v>0</v>
      </c>
      <c r="C24" s="35">
        <v>8.6276666666666696E-2</v>
      </c>
      <c r="D24" s="35">
        <v>0.14399999999999999</v>
      </c>
      <c r="E24" s="35">
        <v>8.1625000000000003E-2</v>
      </c>
      <c r="F24" s="35">
        <v>3.0092592592592601E-2</v>
      </c>
      <c r="G24" s="35">
        <v>0.17684</v>
      </c>
      <c r="H24" s="36">
        <f t="shared" si="4"/>
        <v>8.6472376543209883E-2</v>
      </c>
      <c r="I24" s="36">
        <f t="shared" si="5"/>
        <v>8.2432651111111116E-2</v>
      </c>
      <c r="J24" s="37">
        <v>1100</v>
      </c>
      <c r="K24" s="38">
        <f t="shared" si="6"/>
        <v>7.4938773737373747</v>
      </c>
      <c r="L24" s="39">
        <v>350</v>
      </c>
      <c r="M24" s="57">
        <f t="shared" si="7"/>
        <v>23.552186031746032</v>
      </c>
    </row>
    <row r="25" spans="1:24" x14ac:dyDescent="0.25">
      <c r="A25" s="43" t="s">
        <v>320</v>
      </c>
      <c r="B25" s="35">
        <v>0</v>
      </c>
      <c r="C25" s="35">
        <v>0.11078708333333299</v>
      </c>
      <c r="D25" s="35">
        <v>0.24</v>
      </c>
      <c r="E25" s="35">
        <v>8.1625000000000003E-2</v>
      </c>
      <c r="F25" s="35">
        <v>3.4259259259259302E-2</v>
      </c>
      <c r="G25" s="35">
        <v>0.25284000000000001</v>
      </c>
      <c r="H25" s="36">
        <f t="shared" si="4"/>
        <v>0.11991855709876537</v>
      </c>
      <c r="I25" s="36">
        <f t="shared" si="5"/>
        <v>0.11585229694444438</v>
      </c>
      <c r="J25" s="37">
        <v>1680</v>
      </c>
      <c r="K25" s="38">
        <f t="shared" si="6"/>
        <v>6.8959700562169264</v>
      </c>
      <c r="L25" s="39">
        <v>700</v>
      </c>
      <c r="M25" s="57">
        <f t="shared" si="7"/>
        <v>16.550328134920623</v>
      </c>
    </row>
    <row r="26" spans="1:24" x14ac:dyDescent="0.25">
      <c r="A26" s="43" t="s">
        <v>324</v>
      </c>
      <c r="B26" s="35">
        <v>9.1358333333333402E-2</v>
      </c>
      <c r="C26" s="35">
        <v>0.24510416666666701</v>
      </c>
      <c r="D26" s="35">
        <v>0.16800000000000001</v>
      </c>
      <c r="E26" s="35">
        <v>0</v>
      </c>
      <c r="F26" s="35">
        <v>4.6296296296296301E-2</v>
      </c>
      <c r="G26" s="35">
        <v>0</v>
      </c>
      <c r="H26" s="36">
        <f t="shared" si="4"/>
        <v>0.25928341049382736</v>
      </c>
      <c r="I26" s="36">
        <f t="shared" si="5"/>
        <v>0.10978903055555564</v>
      </c>
      <c r="J26" s="37">
        <v>1628</v>
      </c>
      <c r="K26" s="38">
        <f t="shared" si="6"/>
        <v>6.7437979456729504</v>
      </c>
      <c r="L26" s="39">
        <v>800</v>
      </c>
      <c r="M26" s="57">
        <f t="shared" si="7"/>
        <v>13.723628819444455</v>
      </c>
    </row>
    <row r="27" spans="1:24" x14ac:dyDescent="0.25">
      <c r="A27" s="43" t="s">
        <v>315</v>
      </c>
      <c r="B27" s="35">
        <v>0</v>
      </c>
      <c r="C27" s="35">
        <v>0</v>
      </c>
      <c r="D27" s="35">
        <v>0</v>
      </c>
      <c r="E27" s="35">
        <v>0.14349999999999999</v>
      </c>
      <c r="F27" s="35">
        <v>3.0092592592592601E-2</v>
      </c>
      <c r="G27" s="35">
        <v>0</v>
      </c>
      <c r="H27" s="36">
        <f t="shared" si="4"/>
        <v>2.8932098765432096E-2</v>
      </c>
      <c r="I27" s="36">
        <f t="shared" si="5"/>
        <v>2.5726277777777778E-2</v>
      </c>
      <c r="J27" s="37">
        <v>394</v>
      </c>
      <c r="K27" s="38">
        <f t="shared" si="6"/>
        <v>6.5295121263395375</v>
      </c>
      <c r="L27" s="39">
        <v>300</v>
      </c>
      <c r="M27" s="57">
        <f t="shared" si="7"/>
        <v>8.5754259259259253</v>
      </c>
    </row>
    <row r="28" spans="1:24" x14ac:dyDescent="0.25">
      <c r="A28" s="43" t="s">
        <v>316</v>
      </c>
      <c r="B28" s="35">
        <v>0</v>
      </c>
      <c r="C28" s="35">
        <v>2.4510416666666701E-2</v>
      </c>
      <c r="D28" s="35">
        <v>9.6000000000000002E-2</v>
      </c>
      <c r="E28" s="35">
        <v>0</v>
      </c>
      <c r="F28" s="35">
        <v>4.1666666666666701E-3</v>
      </c>
      <c r="G28" s="35">
        <v>0</v>
      </c>
      <c r="H28" s="36">
        <f t="shared" si="4"/>
        <v>2.0779513888888896E-2</v>
      </c>
      <c r="I28" s="36">
        <f t="shared" si="5"/>
        <v>2.5287645833333341E-2</v>
      </c>
      <c r="J28" s="37">
        <v>500</v>
      </c>
      <c r="K28" s="38">
        <f t="shared" si="6"/>
        <v>5.0575291666666677</v>
      </c>
      <c r="L28" s="39">
        <v>400</v>
      </c>
      <c r="M28" s="57">
        <f t="shared" si="7"/>
        <v>6.3219114583333349</v>
      </c>
    </row>
    <row r="29" spans="1:24" ht="15.75" thickBot="1" x14ac:dyDescent="0.3">
      <c r="A29" s="46" t="s">
        <v>318</v>
      </c>
      <c r="B29" s="35">
        <v>0</v>
      </c>
      <c r="C29" s="35">
        <v>0</v>
      </c>
      <c r="D29" s="35">
        <v>0.14000000000000001</v>
      </c>
      <c r="E29" s="35">
        <v>3.5999999999999997E-2</v>
      </c>
      <c r="F29" s="35">
        <v>0.224236111111111</v>
      </c>
      <c r="G29" s="35">
        <v>0</v>
      </c>
      <c r="H29" s="47">
        <f t="shared" si="4"/>
        <v>6.6706018518518498E-2</v>
      </c>
      <c r="I29" s="47">
        <f t="shared" si="5"/>
        <v>5.9346208333333317E-2</v>
      </c>
      <c r="J29" s="48">
        <v>1276</v>
      </c>
      <c r="K29" s="49">
        <f t="shared" si="6"/>
        <v>4.6509567659352129</v>
      </c>
      <c r="L29" s="39">
        <v>550</v>
      </c>
      <c r="M29" s="57">
        <f t="shared" si="7"/>
        <v>10.790219696969693</v>
      </c>
    </row>
    <row r="30" spans="1:24" ht="15.75" thickBot="1" x14ac:dyDescent="0.3">
      <c r="L30" s="39"/>
      <c r="M30" s="55"/>
    </row>
    <row r="31" spans="1:24" x14ac:dyDescent="0.25">
      <c r="A31" s="108" t="s">
        <v>329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10"/>
      <c r="L31" s="39"/>
      <c r="M31" s="55"/>
    </row>
    <row r="32" spans="1:24" x14ac:dyDescent="0.25">
      <c r="A32" s="30" t="s">
        <v>309</v>
      </c>
      <c r="B32" s="31" t="s">
        <v>58</v>
      </c>
      <c r="C32" s="31" t="s">
        <v>59</v>
      </c>
      <c r="D32" s="31" t="s">
        <v>60</v>
      </c>
      <c r="E32" s="31" t="s">
        <v>61</v>
      </c>
      <c r="F32" s="31" t="s">
        <v>62</v>
      </c>
      <c r="G32" s="31" t="s">
        <v>63</v>
      </c>
      <c r="H32" s="32" t="s">
        <v>310</v>
      </c>
      <c r="I32" s="32" t="s">
        <v>311</v>
      </c>
      <c r="J32" s="32" t="s">
        <v>312</v>
      </c>
      <c r="K32" s="33" t="s">
        <v>313</v>
      </c>
      <c r="L32" s="39"/>
      <c r="M32" s="55"/>
      <c r="U32" s="42">
        <v>5.88333333333333E-2</v>
      </c>
    </row>
    <row r="33" spans="1:21" x14ac:dyDescent="0.25">
      <c r="A33" s="43" t="s">
        <v>70</v>
      </c>
      <c r="B33" s="35">
        <v>9.6166666666666692E-3</v>
      </c>
      <c r="C33" s="35">
        <v>5.0981666666666703E-2</v>
      </c>
      <c r="D33" s="35">
        <v>0.28000000000000003</v>
      </c>
      <c r="E33" s="35">
        <v>3.3875000000000002E-2</v>
      </c>
      <c r="F33" s="35">
        <v>0.234953703703704</v>
      </c>
      <c r="G33" s="35">
        <v>0.24759999999999999</v>
      </c>
      <c r="H33" s="36">
        <f t="shared" ref="H33:H44" si="8">SUMPRODUCT($N$4:$S$4,B33:G33)</f>
        <v>0.16046839506172844</v>
      </c>
      <c r="I33" s="36">
        <f t="shared" ref="I33:I44" si="9">SUMPRODUCT($N$3:$S$3,B33:G33)</f>
        <v>0.12809775111111116</v>
      </c>
      <c r="J33" s="37">
        <v>452</v>
      </c>
      <c r="K33" s="38">
        <f t="shared" ref="K33:K44" si="10">100000*I33/J33</f>
        <v>28.340210422812202</v>
      </c>
      <c r="L33" s="39"/>
      <c r="M33" s="55"/>
      <c r="U33" s="40">
        <v>0</v>
      </c>
    </row>
    <row r="34" spans="1:21" x14ac:dyDescent="0.25">
      <c r="A34" s="43" t="s">
        <v>317</v>
      </c>
      <c r="B34" s="35">
        <v>0</v>
      </c>
      <c r="C34" s="35">
        <v>4.90083333333333E-2</v>
      </c>
      <c r="D34" s="35">
        <v>3.168E-2</v>
      </c>
      <c r="E34" s="35">
        <v>0.38440000000000002</v>
      </c>
      <c r="F34" s="35">
        <v>0</v>
      </c>
      <c r="G34" s="35">
        <v>0.34763333333333302</v>
      </c>
      <c r="H34" s="36">
        <f t="shared" si="8"/>
        <v>0.13545361111111104</v>
      </c>
      <c r="I34" s="36">
        <f t="shared" si="9"/>
        <v>0.11378496333333329</v>
      </c>
      <c r="J34" s="37">
        <v>800</v>
      </c>
      <c r="K34" s="38">
        <f t="shared" si="10"/>
        <v>14.223120416666662</v>
      </c>
      <c r="L34" s="39"/>
      <c r="M34" s="55"/>
      <c r="U34" s="42">
        <v>2.375E-2</v>
      </c>
    </row>
    <row r="35" spans="1:21" x14ac:dyDescent="0.25">
      <c r="A35" s="43" t="s">
        <v>320</v>
      </c>
      <c r="B35" s="35">
        <v>0</v>
      </c>
      <c r="C35" s="35">
        <v>0.11078708333333299</v>
      </c>
      <c r="D35" s="35">
        <v>0.24</v>
      </c>
      <c r="E35" s="35">
        <v>8.1625000000000003E-2</v>
      </c>
      <c r="F35" s="35">
        <v>3.4259259259259302E-2</v>
      </c>
      <c r="G35" s="35">
        <v>0.25284000000000001</v>
      </c>
      <c r="H35" s="36">
        <f t="shared" si="8"/>
        <v>0.11991855709876537</v>
      </c>
      <c r="I35" s="36">
        <f t="shared" si="9"/>
        <v>0.11585229694444438</v>
      </c>
      <c r="J35" s="37">
        <v>1680</v>
      </c>
      <c r="K35" s="38">
        <f t="shared" si="10"/>
        <v>6.8959700562169264</v>
      </c>
      <c r="L35" s="39"/>
      <c r="M35" s="55"/>
      <c r="U35" s="40">
        <v>4.1593749999999999E-2</v>
      </c>
    </row>
    <row r="36" spans="1:21" x14ac:dyDescent="0.25">
      <c r="A36" s="43" t="s">
        <v>324</v>
      </c>
      <c r="B36" s="35">
        <v>9.1358333333333402E-2</v>
      </c>
      <c r="C36" s="35">
        <v>0.24510416666666701</v>
      </c>
      <c r="D36" s="35">
        <v>0.16800000000000001</v>
      </c>
      <c r="E36" s="35">
        <v>0</v>
      </c>
      <c r="F36" s="35">
        <v>4.6296296296296301E-2</v>
      </c>
      <c r="G36" s="35">
        <v>0</v>
      </c>
      <c r="H36" s="36">
        <f t="shared" si="8"/>
        <v>0.25928341049382736</v>
      </c>
      <c r="I36" s="36">
        <f t="shared" si="9"/>
        <v>0.10978903055555564</v>
      </c>
      <c r="J36" s="37">
        <v>1628</v>
      </c>
      <c r="K36" s="38">
        <f t="shared" si="10"/>
        <v>6.7437979456729504</v>
      </c>
      <c r="L36" s="39"/>
      <c r="M36" s="55"/>
      <c r="U36" s="40"/>
    </row>
    <row r="37" spans="1:21" x14ac:dyDescent="0.25">
      <c r="A37" s="43" t="s">
        <v>323</v>
      </c>
      <c r="B37" s="35">
        <v>0</v>
      </c>
      <c r="C37" s="35">
        <v>8.6276666666666696E-2</v>
      </c>
      <c r="D37" s="35">
        <v>0.14399999999999999</v>
      </c>
      <c r="E37" s="35">
        <v>8.1625000000000003E-2</v>
      </c>
      <c r="F37" s="35">
        <v>3.0092592592592601E-2</v>
      </c>
      <c r="G37" s="35">
        <v>0.17684</v>
      </c>
      <c r="H37" s="36">
        <f t="shared" si="8"/>
        <v>8.6472376543209883E-2</v>
      </c>
      <c r="I37" s="36">
        <f t="shared" si="9"/>
        <v>8.2432651111111116E-2</v>
      </c>
      <c r="J37" s="37">
        <v>1100</v>
      </c>
      <c r="K37" s="38">
        <f t="shared" si="10"/>
        <v>7.4938773737373747</v>
      </c>
      <c r="L37" s="39"/>
      <c r="M37" s="55"/>
      <c r="U37" s="40"/>
    </row>
    <row r="38" spans="1:21" x14ac:dyDescent="0.25">
      <c r="A38" s="43" t="s">
        <v>327</v>
      </c>
      <c r="B38" s="35">
        <v>0</v>
      </c>
      <c r="C38" s="35">
        <v>2.9399999999999999E-2</v>
      </c>
      <c r="D38" s="35">
        <v>0</v>
      </c>
      <c r="E38" s="35">
        <v>0.1225</v>
      </c>
      <c r="F38" s="35">
        <v>0</v>
      </c>
      <c r="G38" s="35">
        <v>0.28599999999999998</v>
      </c>
      <c r="H38" s="36">
        <f t="shared" si="8"/>
        <v>7.2983333333333331E-2</v>
      </c>
      <c r="I38" s="36">
        <f t="shared" si="9"/>
        <v>5.5768399999999996E-2</v>
      </c>
      <c r="J38" s="37">
        <v>471</v>
      </c>
      <c r="K38" s="38">
        <f t="shared" si="10"/>
        <v>11.840424628450105</v>
      </c>
      <c r="L38" s="39"/>
      <c r="M38" s="55"/>
      <c r="U38" s="40"/>
    </row>
    <row r="39" spans="1:21" x14ac:dyDescent="0.25">
      <c r="A39" s="43" t="s">
        <v>318</v>
      </c>
      <c r="B39" s="35">
        <v>0</v>
      </c>
      <c r="C39" s="35">
        <v>0</v>
      </c>
      <c r="D39" s="35">
        <v>0.14000000000000001</v>
      </c>
      <c r="E39" s="35">
        <v>3.5999999999999997E-2</v>
      </c>
      <c r="F39" s="35">
        <v>0.224236111111111</v>
      </c>
      <c r="G39" s="35">
        <v>0</v>
      </c>
      <c r="H39" s="36">
        <f t="shared" si="8"/>
        <v>6.6706018518518498E-2</v>
      </c>
      <c r="I39" s="36">
        <f t="shared" si="9"/>
        <v>5.9346208333333317E-2</v>
      </c>
      <c r="J39" s="37">
        <v>1276</v>
      </c>
      <c r="K39" s="38">
        <f t="shared" si="10"/>
        <v>4.6509567659352129</v>
      </c>
      <c r="L39" s="39"/>
      <c r="M39" s="55"/>
      <c r="U39" s="42">
        <v>0</v>
      </c>
    </row>
    <row r="40" spans="1:21" x14ac:dyDescent="0.25">
      <c r="A40" s="43" t="s">
        <v>319</v>
      </c>
      <c r="B40" s="35">
        <v>0</v>
      </c>
      <c r="C40" s="35">
        <v>5.8825000000000002E-2</v>
      </c>
      <c r="D40" s="35">
        <v>0.14399999999999999</v>
      </c>
      <c r="E40" s="35">
        <v>1.1849999999999999E-2</v>
      </c>
      <c r="F40" s="35">
        <v>4.1666666666666701E-3</v>
      </c>
      <c r="G40" s="35">
        <v>7.5999999999999998E-2</v>
      </c>
      <c r="H40" s="36">
        <f t="shared" si="8"/>
        <v>4.9140277777777769E-2</v>
      </c>
      <c r="I40" s="36">
        <f t="shared" si="9"/>
        <v>5.2225049999999995E-2</v>
      </c>
      <c r="J40" s="37">
        <v>607</v>
      </c>
      <c r="K40" s="38">
        <f t="shared" si="10"/>
        <v>8.6037973640856666</v>
      </c>
      <c r="L40" s="39"/>
      <c r="M40" s="55"/>
    </row>
    <row r="41" spans="1:21" x14ac:dyDescent="0.25">
      <c r="A41" s="43" t="s">
        <v>325</v>
      </c>
      <c r="B41" s="35">
        <v>0</v>
      </c>
      <c r="C41" s="35">
        <v>4.4118749999999998E-2</v>
      </c>
      <c r="D41" s="35">
        <v>0.14399999999999999</v>
      </c>
      <c r="E41" s="35">
        <v>0</v>
      </c>
      <c r="F41" s="35">
        <v>4.1666666666666701E-3</v>
      </c>
      <c r="G41" s="35">
        <v>7.5999999999999998E-2</v>
      </c>
      <c r="H41" s="36">
        <f t="shared" si="8"/>
        <v>4.4714236111111104E-2</v>
      </c>
      <c r="I41" s="36">
        <f t="shared" si="9"/>
        <v>4.7346962499999992E-2</v>
      </c>
      <c r="J41" s="37">
        <v>580</v>
      </c>
      <c r="K41" s="38">
        <f t="shared" si="10"/>
        <v>8.1632693965517227</v>
      </c>
      <c r="L41" s="39"/>
      <c r="M41" s="55"/>
    </row>
    <row r="42" spans="1:21" x14ac:dyDescent="0.25">
      <c r="A42" s="43" t="s">
        <v>314</v>
      </c>
      <c r="B42" s="35">
        <v>9.6149999999999999E-2</v>
      </c>
      <c r="C42" s="35">
        <v>0.14708333333333301</v>
      </c>
      <c r="D42" s="35">
        <v>0</v>
      </c>
      <c r="E42" s="35">
        <v>0</v>
      </c>
      <c r="F42" s="35">
        <v>0</v>
      </c>
      <c r="G42" s="35">
        <v>0</v>
      </c>
      <c r="H42" s="36">
        <f t="shared" si="8"/>
        <v>0.21681388888888883</v>
      </c>
      <c r="I42" s="36">
        <f t="shared" si="9"/>
        <v>5.0875266666666599E-2</v>
      </c>
      <c r="J42" s="37">
        <v>600</v>
      </c>
      <c r="K42" s="38">
        <f t="shared" si="10"/>
        <v>8.4792111111111002</v>
      </c>
      <c r="L42" s="39"/>
      <c r="M42" s="55"/>
    </row>
    <row r="43" spans="1:21" x14ac:dyDescent="0.25">
      <c r="A43" s="43" t="s">
        <v>315</v>
      </c>
      <c r="B43" s="35">
        <v>0</v>
      </c>
      <c r="C43" s="35">
        <v>0</v>
      </c>
      <c r="D43" s="35">
        <v>0</v>
      </c>
      <c r="E43" s="35">
        <v>0.14349999999999999</v>
      </c>
      <c r="F43" s="35">
        <v>3.0092592592592601E-2</v>
      </c>
      <c r="G43" s="35">
        <v>0</v>
      </c>
      <c r="H43" s="36">
        <f t="shared" si="8"/>
        <v>2.8932098765432096E-2</v>
      </c>
      <c r="I43" s="36">
        <f t="shared" si="9"/>
        <v>2.5726277777777778E-2</v>
      </c>
      <c r="J43" s="37">
        <v>394</v>
      </c>
      <c r="K43" s="38">
        <f t="shared" si="10"/>
        <v>6.5295121263395375</v>
      </c>
      <c r="L43" s="39"/>
      <c r="M43" s="55"/>
    </row>
    <row r="44" spans="1:21" x14ac:dyDescent="0.25">
      <c r="A44" s="43" t="s">
        <v>316</v>
      </c>
      <c r="B44" s="35">
        <v>0</v>
      </c>
      <c r="C44" s="35">
        <v>2.4510416666666701E-2</v>
      </c>
      <c r="D44" s="35">
        <v>9.6000000000000002E-2</v>
      </c>
      <c r="E44" s="35">
        <v>0</v>
      </c>
      <c r="F44" s="35">
        <v>4.1666666666666701E-3</v>
      </c>
      <c r="G44" s="35">
        <v>0</v>
      </c>
      <c r="H44" s="36">
        <f t="shared" si="8"/>
        <v>2.0779513888888896E-2</v>
      </c>
      <c r="I44" s="36">
        <f t="shared" si="9"/>
        <v>2.5287645833333341E-2</v>
      </c>
      <c r="J44" s="37">
        <v>500</v>
      </c>
      <c r="K44" s="38">
        <f t="shared" si="10"/>
        <v>5.0575291666666677</v>
      </c>
      <c r="L44" s="39"/>
      <c r="M44" s="55"/>
    </row>
    <row r="45" spans="1:21" ht="15.75" thickBot="1" x14ac:dyDescent="0.3">
      <c r="L45" s="39"/>
      <c r="M45" s="55"/>
    </row>
    <row r="46" spans="1:21" x14ac:dyDescent="0.25">
      <c r="A46" s="108" t="s">
        <v>330</v>
      </c>
      <c r="B46" s="109"/>
      <c r="C46" s="109"/>
      <c r="D46" s="109"/>
      <c r="E46" s="109"/>
      <c r="F46" s="109"/>
      <c r="G46" s="109"/>
      <c r="H46" s="109"/>
      <c r="I46" s="109"/>
      <c r="J46" s="109"/>
      <c r="K46" s="110"/>
    </row>
    <row r="47" spans="1:21" x14ac:dyDescent="0.25">
      <c r="A47" t="s">
        <v>309</v>
      </c>
      <c r="B47" t="s">
        <v>58</v>
      </c>
      <c r="C47" t="s">
        <v>59</v>
      </c>
      <c r="D47" t="s">
        <v>60</v>
      </c>
      <c r="E47" t="s">
        <v>61</v>
      </c>
      <c r="F47" t="s">
        <v>62</v>
      </c>
      <c r="G47" t="s">
        <v>63</v>
      </c>
      <c r="H47" t="s">
        <v>311</v>
      </c>
      <c r="I47" s="56"/>
      <c r="J47" s="32"/>
      <c r="K47" s="33"/>
      <c r="L47" s="29"/>
    </row>
    <row r="48" spans="1:21" x14ac:dyDescent="0.25">
      <c r="A48" t="s">
        <v>324</v>
      </c>
      <c r="B48" s="51">
        <v>2.0579666666666672E-3</v>
      </c>
      <c r="C48" s="51">
        <v>1.050222333333334E-2</v>
      </c>
      <c r="D48" s="51">
        <v>5.7680000000000002E-2</v>
      </c>
      <c r="E48" s="51">
        <v>5.2845000000000001E-3</v>
      </c>
      <c r="F48" s="51">
        <v>2.6079861111111144E-2</v>
      </c>
      <c r="G48" s="51">
        <v>2.6493199999999998E-2</v>
      </c>
      <c r="H48" s="51">
        <v>0.12809775111111116</v>
      </c>
      <c r="I48" s="36"/>
      <c r="J48" s="37"/>
      <c r="K48" s="38"/>
      <c r="L48" s="34"/>
    </row>
    <row r="49" spans="1:12" x14ac:dyDescent="0.25">
      <c r="A49" t="s">
        <v>316</v>
      </c>
      <c r="B49" s="51">
        <v>0</v>
      </c>
      <c r="C49" s="51">
        <v>2.2822139166666595E-2</v>
      </c>
      <c r="D49" s="51">
        <v>4.9439999999999998E-2</v>
      </c>
      <c r="E49" s="51">
        <v>1.27335E-2</v>
      </c>
      <c r="F49" s="51">
        <v>3.8027777777777825E-3</v>
      </c>
      <c r="G49" s="51">
        <v>2.7053879999999999E-2</v>
      </c>
      <c r="H49" s="51">
        <v>0.11585229694444438</v>
      </c>
      <c r="I49" s="36"/>
      <c r="J49" s="37"/>
      <c r="K49" s="38"/>
      <c r="L49" s="39"/>
    </row>
    <row r="50" spans="1:12" x14ac:dyDescent="0.25">
      <c r="A50" t="s">
        <v>314</v>
      </c>
      <c r="B50" s="51">
        <v>0</v>
      </c>
      <c r="C50" s="51">
        <v>1.0095716666666659E-2</v>
      </c>
      <c r="D50" s="51">
        <v>6.5260799999999992E-3</v>
      </c>
      <c r="E50" s="51">
        <v>5.9966400000000003E-2</v>
      </c>
      <c r="F50" s="51">
        <v>0</v>
      </c>
      <c r="G50" s="51">
        <v>3.7196766666666631E-2</v>
      </c>
      <c r="H50" s="51">
        <v>0.11378496333333329</v>
      </c>
      <c r="I50" s="36"/>
      <c r="J50" s="37"/>
      <c r="K50" s="38"/>
      <c r="L50" s="39"/>
    </row>
    <row r="51" spans="1:12" x14ac:dyDescent="0.25">
      <c r="A51" t="s">
        <v>325</v>
      </c>
      <c r="B51" s="51">
        <v>1.9550683333333346E-2</v>
      </c>
      <c r="C51" s="51">
        <v>5.0491458333333399E-2</v>
      </c>
      <c r="D51" s="51">
        <v>3.4608E-2</v>
      </c>
      <c r="E51" s="51">
        <v>0</v>
      </c>
      <c r="F51" s="51">
        <v>5.138888888888889E-3</v>
      </c>
      <c r="G51" s="51">
        <v>0</v>
      </c>
      <c r="H51" s="51">
        <v>0.10978903055555564</v>
      </c>
      <c r="I51" s="36"/>
      <c r="J51" s="37"/>
      <c r="K51" s="38"/>
      <c r="L51" s="39"/>
    </row>
    <row r="52" spans="1:12" x14ac:dyDescent="0.25">
      <c r="A52" t="s">
        <v>323</v>
      </c>
      <c r="B52" s="51">
        <v>0</v>
      </c>
      <c r="C52" s="51">
        <v>1.7772993333333337E-2</v>
      </c>
      <c r="D52" s="51">
        <v>2.9663999999999996E-2</v>
      </c>
      <c r="E52" s="51">
        <v>1.27335E-2</v>
      </c>
      <c r="F52" s="51">
        <v>3.3402777777777788E-3</v>
      </c>
      <c r="G52" s="51">
        <v>1.8921879999999999E-2</v>
      </c>
      <c r="H52" s="51">
        <v>8.2432651111111116E-2</v>
      </c>
      <c r="I52" s="36"/>
      <c r="J52" s="37"/>
      <c r="K52" s="38"/>
      <c r="L52" s="39"/>
    </row>
    <row r="53" spans="1:12" x14ac:dyDescent="0.25">
      <c r="A53" t="s">
        <v>328</v>
      </c>
      <c r="B53" s="51">
        <v>0</v>
      </c>
      <c r="C53" s="51">
        <v>0</v>
      </c>
      <c r="D53" s="51">
        <v>2.8840000000000001E-2</v>
      </c>
      <c r="E53" s="51">
        <v>5.6159999999999995E-3</v>
      </c>
      <c r="F53" s="51">
        <v>2.489020833333332E-2</v>
      </c>
      <c r="G53" s="51">
        <v>0</v>
      </c>
      <c r="H53" s="51">
        <v>5.9346208333333317E-2</v>
      </c>
      <c r="I53" s="36"/>
      <c r="J53" s="37"/>
      <c r="K53" s="38"/>
      <c r="L53" s="39"/>
    </row>
    <row r="54" spans="1:12" x14ac:dyDescent="0.25">
      <c r="A54" t="s">
        <v>318</v>
      </c>
      <c r="B54" s="51">
        <v>0</v>
      </c>
      <c r="C54" s="51">
        <v>6.0563999999999991E-3</v>
      </c>
      <c r="D54" s="51">
        <v>0</v>
      </c>
      <c r="E54" s="51">
        <v>1.9109999999999999E-2</v>
      </c>
      <c r="F54" s="51">
        <v>0</v>
      </c>
      <c r="G54" s="51">
        <v>3.0601999999999997E-2</v>
      </c>
      <c r="H54" s="51">
        <v>5.5768399999999996E-2</v>
      </c>
      <c r="I54" s="36"/>
      <c r="J54" s="37"/>
      <c r="K54" s="38"/>
      <c r="L54" s="39"/>
    </row>
    <row r="55" spans="1:12" x14ac:dyDescent="0.25">
      <c r="A55" t="s">
        <v>327</v>
      </c>
      <c r="B55" s="51">
        <v>0</v>
      </c>
      <c r="C55" s="51">
        <v>1.2117950000000001E-2</v>
      </c>
      <c r="D55" s="51">
        <v>2.9663999999999996E-2</v>
      </c>
      <c r="E55" s="51">
        <v>1.8485999999999999E-3</v>
      </c>
      <c r="F55" s="51">
        <v>4.625000000000004E-4</v>
      </c>
      <c r="G55" s="51">
        <v>8.1320000000000003E-3</v>
      </c>
      <c r="H55" s="51">
        <v>5.2225049999999995E-2</v>
      </c>
      <c r="I55" s="36"/>
      <c r="J55" s="37"/>
      <c r="K55" s="38"/>
      <c r="L55" s="39"/>
    </row>
    <row r="56" spans="1:12" x14ac:dyDescent="0.25">
      <c r="A56" t="s">
        <v>70</v>
      </c>
      <c r="B56" s="51">
        <v>2.05761E-2</v>
      </c>
      <c r="C56" s="51">
        <v>3.0299166666666599E-2</v>
      </c>
      <c r="D56" s="51">
        <v>0</v>
      </c>
      <c r="E56" s="51">
        <v>0</v>
      </c>
      <c r="F56" s="51">
        <v>0</v>
      </c>
      <c r="G56" s="51">
        <v>0</v>
      </c>
      <c r="H56" s="51">
        <v>5.0875266666666599E-2</v>
      </c>
      <c r="I56" s="36"/>
      <c r="J56" s="37"/>
      <c r="K56" s="38"/>
      <c r="L56" s="39"/>
    </row>
    <row r="57" spans="1:12" x14ac:dyDescent="0.25">
      <c r="A57" t="s">
        <v>319</v>
      </c>
      <c r="B57" s="51">
        <v>0</v>
      </c>
      <c r="C57" s="51">
        <v>9.0884624999999983E-3</v>
      </c>
      <c r="D57" s="51">
        <v>2.9663999999999996E-2</v>
      </c>
      <c r="E57" s="51">
        <v>0</v>
      </c>
      <c r="F57" s="51">
        <v>4.625000000000004E-4</v>
      </c>
      <c r="G57" s="51">
        <v>8.1320000000000003E-3</v>
      </c>
      <c r="H57" s="51">
        <v>4.7346962499999992E-2</v>
      </c>
      <c r="I57" s="36"/>
      <c r="J57" s="37"/>
      <c r="K57" s="38"/>
      <c r="L57" s="39"/>
    </row>
    <row r="58" spans="1:12" x14ac:dyDescent="0.25">
      <c r="A58" t="s">
        <v>315</v>
      </c>
      <c r="B58" s="51">
        <v>0</v>
      </c>
      <c r="C58" s="51">
        <v>0</v>
      </c>
      <c r="D58" s="51">
        <v>0</v>
      </c>
      <c r="E58" s="51">
        <v>2.2386E-2</v>
      </c>
      <c r="F58" s="51">
        <v>3.3402777777777788E-3</v>
      </c>
      <c r="G58" s="51">
        <v>0</v>
      </c>
      <c r="H58" s="51">
        <v>2.5726277777777778E-2</v>
      </c>
      <c r="I58" s="36"/>
      <c r="J58" s="37"/>
      <c r="K58" s="38"/>
      <c r="L58" s="39"/>
    </row>
    <row r="59" spans="1:12" x14ac:dyDescent="0.25">
      <c r="A59" t="s">
        <v>317</v>
      </c>
      <c r="B59" s="51">
        <v>0</v>
      </c>
      <c r="C59" s="51">
        <v>5.0491458333333404E-3</v>
      </c>
      <c r="D59" s="51">
        <v>1.9775999999999998E-2</v>
      </c>
      <c r="E59" s="51">
        <v>0</v>
      </c>
      <c r="F59" s="51">
        <v>4.625000000000004E-4</v>
      </c>
      <c r="G59" s="51">
        <v>0</v>
      </c>
      <c r="H59" s="51">
        <v>2.5287645833333341E-2</v>
      </c>
      <c r="I59" s="36"/>
      <c r="J59" s="37"/>
      <c r="K59" s="38"/>
      <c r="L59" s="39"/>
    </row>
    <row r="60" spans="1:12" x14ac:dyDescent="0.25">
      <c r="L60" s="39"/>
    </row>
    <row r="61" spans="1:12" x14ac:dyDescent="0.25">
      <c r="L61" s="39"/>
    </row>
    <row r="62" spans="1:12" x14ac:dyDescent="0.25">
      <c r="L62" s="39"/>
    </row>
    <row r="63" spans="1:12" x14ac:dyDescent="0.25">
      <c r="L63" s="39"/>
    </row>
    <row r="64" spans="1:12" x14ac:dyDescent="0.25">
      <c r="L64" s="39"/>
    </row>
    <row r="65" spans="1:13" x14ac:dyDescent="0.25">
      <c r="L65" s="39"/>
    </row>
    <row r="66" spans="1:13" x14ac:dyDescent="0.25">
      <c r="L66" s="39"/>
    </row>
    <row r="67" spans="1:13" x14ac:dyDescent="0.25">
      <c r="L67" s="39"/>
    </row>
    <row r="68" spans="1:13" ht="15.75" thickBot="1" x14ac:dyDescent="0.3">
      <c r="L68" s="39"/>
    </row>
    <row r="69" spans="1:13" x14ac:dyDescent="0.25">
      <c r="A69" s="108" t="s">
        <v>326</v>
      </c>
      <c r="B69" s="109"/>
      <c r="C69" s="109"/>
      <c r="D69" s="109"/>
      <c r="E69" s="109"/>
      <c r="F69" s="109"/>
      <c r="G69" s="109"/>
      <c r="H69" s="109"/>
      <c r="I69" s="109"/>
      <c r="J69" s="109"/>
      <c r="K69" s="110"/>
      <c r="L69" s="39"/>
    </row>
    <row r="70" spans="1:13" x14ac:dyDescent="0.25">
      <c r="A70" s="30" t="s">
        <v>309</v>
      </c>
      <c r="B70" s="31" t="s">
        <v>58</v>
      </c>
      <c r="C70" s="31" t="s">
        <v>59</v>
      </c>
      <c r="D70" s="31" t="s">
        <v>60</v>
      </c>
      <c r="E70" s="31" t="s">
        <v>61</v>
      </c>
      <c r="F70" s="31" t="s">
        <v>62</v>
      </c>
      <c r="G70" s="31" t="s">
        <v>63</v>
      </c>
      <c r="H70" s="32" t="s">
        <v>310</v>
      </c>
      <c r="I70" s="32" t="s">
        <v>311</v>
      </c>
      <c r="J70" s="32" t="s">
        <v>312</v>
      </c>
      <c r="K70" s="33" t="s">
        <v>313</v>
      </c>
      <c r="L70" s="39"/>
    </row>
    <row r="71" spans="1:13" x14ac:dyDescent="0.25">
      <c r="A71" s="43" t="s">
        <v>70</v>
      </c>
      <c r="B71" s="35">
        <v>9.6166666666666692E-3</v>
      </c>
      <c r="C71" s="35">
        <v>5.0981666666666703E-2</v>
      </c>
      <c r="D71" s="35">
        <v>0.28000000000000003</v>
      </c>
      <c r="E71" s="35">
        <v>3.3875000000000002E-2</v>
      </c>
      <c r="F71" s="35">
        <v>0.234953703703704</v>
      </c>
      <c r="G71" s="35">
        <v>0.24759999999999999</v>
      </c>
      <c r="H71" s="36">
        <f t="shared" ref="H71:H82" si="11">SUMPRODUCT($N$4:$S$4,B71:G71)</f>
        <v>0.16046839506172844</v>
      </c>
      <c r="I71" s="36">
        <f t="shared" ref="I71:I82" si="12">SUMPRODUCT($N$3:$S$3,B71:G71)</f>
        <v>0.12809775111111116</v>
      </c>
      <c r="J71" s="37">
        <v>452</v>
      </c>
      <c r="K71" s="38">
        <f t="shared" ref="K71:K82" si="13">100000*I71/J71</f>
        <v>28.340210422812202</v>
      </c>
      <c r="L71" s="39">
        <v>300</v>
      </c>
      <c r="M71" s="57">
        <f t="shared" ref="M71:M82" si="14">100000*I71/L71</f>
        <v>42.699250370370386</v>
      </c>
    </row>
    <row r="72" spans="1:13" x14ac:dyDescent="0.25">
      <c r="A72" s="43" t="s">
        <v>314</v>
      </c>
      <c r="B72" s="35">
        <v>9.6149999999999999E-2</v>
      </c>
      <c r="C72" s="35">
        <v>0.14708333333333301</v>
      </c>
      <c r="D72" s="35">
        <v>0</v>
      </c>
      <c r="E72" s="35">
        <v>0</v>
      </c>
      <c r="F72" s="35">
        <v>0</v>
      </c>
      <c r="G72" s="35">
        <v>0</v>
      </c>
      <c r="H72" s="36">
        <f t="shared" si="11"/>
        <v>0.21681388888888883</v>
      </c>
      <c r="I72" s="36">
        <f t="shared" si="12"/>
        <v>5.0875266666666599E-2</v>
      </c>
      <c r="J72" s="37">
        <v>600</v>
      </c>
      <c r="K72" s="38">
        <f t="shared" si="13"/>
        <v>8.4792111111111002</v>
      </c>
      <c r="L72" s="39">
        <v>200</v>
      </c>
      <c r="M72" s="57">
        <f t="shared" si="14"/>
        <v>25.437633333333302</v>
      </c>
    </row>
    <row r="73" spans="1:13" x14ac:dyDescent="0.25">
      <c r="A73" s="43" t="s">
        <v>317</v>
      </c>
      <c r="B73" s="35">
        <v>0</v>
      </c>
      <c r="C73" s="35">
        <v>4.90083333333333E-2</v>
      </c>
      <c r="D73" s="35">
        <v>3.168E-2</v>
      </c>
      <c r="E73" s="35">
        <v>0.38440000000000002</v>
      </c>
      <c r="F73" s="35">
        <v>0</v>
      </c>
      <c r="G73" s="35">
        <v>0.34763333333333302</v>
      </c>
      <c r="H73" s="36">
        <f t="shared" si="11"/>
        <v>0.13545361111111104</v>
      </c>
      <c r="I73" s="36">
        <f t="shared" si="12"/>
        <v>0.11378496333333329</v>
      </c>
      <c r="J73" s="37">
        <v>800</v>
      </c>
      <c r="K73" s="38">
        <f t="shared" si="13"/>
        <v>14.223120416666662</v>
      </c>
      <c r="L73" s="39">
        <v>450</v>
      </c>
      <c r="M73" s="57">
        <f t="shared" si="14"/>
        <v>25.285547407407396</v>
      </c>
    </row>
    <row r="74" spans="1:13" x14ac:dyDescent="0.25">
      <c r="A74" s="43" t="s">
        <v>323</v>
      </c>
      <c r="B74" s="35">
        <v>0</v>
      </c>
      <c r="C74" s="35">
        <v>8.6276666666666696E-2</v>
      </c>
      <c r="D74" s="35">
        <v>0.14399999999999999</v>
      </c>
      <c r="E74" s="35">
        <v>8.1625000000000003E-2</v>
      </c>
      <c r="F74" s="35">
        <v>3.0092592592592601E-2</v>
      </c>
      <c r="G74" s="35">
        <v>0.17684</v>
      </c>
      <c r="H74" s="36">
        <f t="shared" si="11"/>
        <v>8.6472376543209883E-2</v>
      </c>
      <c r="I74" s="36">
        <f t="shared" si="12"/>
        <v>8.2432651111111116E-2</v>
      </c>
      <c r="J74" s="37">
        <v>1100</v>
      </c>
      <c r="K74" s="38">
        <f t="shared" si="13"/>
        <v>7.4938773737373747</v>
      </c>
      <c r="L74" s="39">
        <v>350</v>
      </c>
      <c r="M74" s="57">
        <f t="shared" si="14"/>
        <v>23.552186031746032</v>
      </c>
    </row>
    <row r="75" spans="1:13" x14ac:dyDescent="0.25">
      <c r="A75" s="43" t="s">
        <v>319</v>
      </c>
      <c r="B75" s="35">
        <v>0</v>
      </c>
      <c r="C75" s="35">
        <v>5.8825000000000002E-2</v>
      </c>
      <c r="D75" s="35">
        <v>0.14399999999999999</v>
      </c>
      <c r="E75" s="35">
        <v>1.1849999999999999E-2</v>
      </c>
      <c r="F75" s="35">
        <v>4.1666666666666701E-3</v>
      </c>
      <c r="G75" s="35">
        <v>7.5999999999999998E-2</v>
      </c>
      <c r="H75" s="36">
        <f t="shared" si="11"/>
        <v>4.9140277777777769E-2</v>
      </c>
      <c r="I75" s="36">
        <f t="shared" si="12"/>
        <v>5.2225049999999995E-2</v>
      </c>
      <c r="J75" s="37">
        <v>607</v>
      </c>
      <c r="K75" s="38">
        <f t="shared" si="13"/>
        <v>8.6037973640856666</v>
      </c>
      <c r="L75" s="39">
        <v>300</v>
      </c>
      <c r="M75" s="57">
        <f t="shared" si="14"/>
        <v>17.408349999999999</v>
      </c>
    </row>
    <row r="76" spans="1:13" x14ac:dyDescent="0.25">
      <c r="A76" s="43" t="s">
        <v>320</v>
      </c>
      <c r="B76" s="35">
        <v>0</v>
      </c>
      <c r="C76" s="35">
        <v>0.11078708333333299</v>
      </c>
      <c r="D76" s="35">
        <v>0.24</v>
      </c>
      <c r="E76" s="35">
        <v>8.1625000000000003E-2</v>
      </c>
      <c r="F76" s="35">
        <v>3.4259259259259302E-2</v>
      </c>
      <c r="G76" s="35">
        <v>0.25284000000000001</v>
      </c>
      <c r="H76" s="36">
        <f t="shared" si="11"/>
        <v>0.11991855709876537</v>
      </c>
      <c r="I76" s="36">
        <f t="shared" si="12"/>
        <v>0.11585229694444438</v>
      </c>
      <c r="J76" s="37">
        <v>1680</v>
      </c>
      <c r="K76" s="38">
        <f t="shared" si="13"/>
        <v>6.8959700562169264</v>
      </c>
      <c r="L76" s="39">
        <v>700</v>
      </c>
      <c r="M76" s="57">
        <f t="shared" si="14"/>
        <v>16.550328134920623</v>
      </c>
    </row>
    <row r="77" spans="1:13" x14ac:dyDescent="0.25">
      <c r="A77" s="43" t="s">
        <v>324</v>
      </c>
      <c r="B77" s="35">
        <v>9.1358333333333402E-2</v>
      </c>
      <c r="C77" s="35">
        <v>0.24510416666666701</v>
      </c>
      <c r="D77" s="35">
        <v>0.16800000000000001</v>
      </c>
      <c r="E77" s="35">
        <v>0</v>
      </c>
      <c r="F77" s="35">
        <v>4.6296296296296301E-2</v>
      </c>
      <c r="G77" s="35">
        <v>0</v>
      </c>
      <c r="H77" s="36">
        <f t="shared" si="11"/>
        <v>0.25928341049382736</v>
      </c>
      <c r="I77" s="36">
        <f t="shared" si="12"/>
        <v>0.10978903055555564</v>
      </c>
      <c r="J77" s="37">
        <v>1628</v>
      </c>
      <c r="K77" s="38">
        <f t="shared" si="13"/>
        <v>6.7437979456729504</v>
      </c>
      <c r="L77" s="39">
        <v>800</v>
      </c>
      <c r="M77" s="57">
        <f t="shared" si="14"/>
        <v>13.723628819444455</v>
      </c>
    </row>
    <row r="78" spans="1:13" x14ac:dyDescent="0.25">
      <c r="A78" s="43" t="s">
        <v>325</v>
      </c>
      <c r="B78" s="35">
        <v>0</v>
      </c>
      <c r="C78" s="35">
        <v>4.4118749999999998E-2</v>
      </c>
      <c r="D78" s="35">
        <v>0.14399999999999999</v>
      </c>
      <c r="E78" s="35">
        <v>0</v>
      </c>
      <c r="F78" s="35">
        <v>4.1666666666666701E-3</v>
      </c>
      <c r="G78" s="35">
        <v>7.5999999999999998E-2</v>
      </c>
      <c r="H78" s="36">
        <f t="shared" si="11"/>
        <v>4.4714236111111104E-2</v>
      </c>
      <c r="I78" s="36">
        <f t="shared" si="12"/>
        <v>4.7346962499999992E-2</v>
      </c>
      <c r="J78" s="37">
        <v>580</v>
      </c>
      <c r="K78" s="38">
        <f t="shared" si="13"/>
        <v>8.1632693965517227</v>
      </c>
      <c r="L78" s="39">
        <v>350</v>
      </c>
      <c r="M78" s="57">
        <f t="shared" si="14"/>
        <v>13.527703571428569</v>
      </c>
    </row>
    <row r="79" spans="1:13" x14ac:dyDescent="0.25">
      <c r="A79" s="43" t="s">
        <v>321</v>
      </c>
      <c r="B79" s="35">
        <v>0</v>
      </c>
      <c r="C79" s="35">
        <v>2.9399999999999999E-2</v>
      </c>
      <c r="D79" s="35">
        <v>0</v>
      </c>
      <c r="E79" s="35">
        <v>0.1225</v>
      </c>
      <c r="F79" s="35">
        <v>0</v>
      </c>
      <c r="G79" s="35">
        <v>0.28599999999999998</v>
      </c>
      <c r="H79" s="36">
        <f t="shared" si="11"/>
        <v>7.2983333333333331E-2</v>
      </c>
      <c r="I79" s="36">
        <f t="shared" si="12"/>
        <v>5.5768399999999996E-2</v>
      </c>
      <c r="J79" s="37">
        <v>471</v>
      </c>
      <c r="K79" s="38">
        <f t="shared" si="13"/>
        <v>11.840424628450105</v>
      </c>
      <c r="L79" s="39">
        <v>450</v>
      </c>
      <c r="M79" s="57">
        <f t="shared" si="14"/>
        <v>12.392977777777777</v>
      </c>
    </row>
    <row r="80" spans="1:13" x14ac:dyDescent="0.25">
      <c r="A80" s="43" t="s">
        <v>318</v>
      </c>
      <c r="B80" s="35">
        <v>0</v>
      </c>
      <c r="C80" s="35">
        <v>0</v>
      </c>
      <c r="D80" s="35">
        <v>0.14000000000000001</v>
      </c>
      <c r="E80" s="35">
        <v>3.5999999999999997E-2</v>
      </c>
      <c r="F80" s="35">
        <v>0.224236111111111</v>
      </c>
      <c r="G80" s="35">
        <v>0</v>
      </c>
      <c r="H80" s="36">
        <f t="shared" si="11"/>
        <v>6.6706018518518498E-2</v>
      </c>
      <c r="I80" s="36">
        <f t="shared" si="12"/>
        <v>5.9346208333333317E-2</v>
      </c>
      <c r="J80" s="37">
        <v>1276</v>
      </c>
      <c r="K80" s="38">
        <f t="shared" si="13"/>
        <v>4.6509567659352129</v>
      </c>
      <c r="L80" s="39">
        <v>550</v>
      </c>
      <c r="M80" s="57">
        <f t="shared" si="14"/>
        <v>10.790219696969693</v>
      </c>
    </row>
    <row r="81" spans="1:13" x14ac:dyDescent="0.25">
      <c r="A81" s="43" t="s">
        <v>315</v>
      </c>
      <c r="B81" s="35">
        <v>0</v>
      </c>
      <c r="C81" s="35">
        <v>0</v>
      </c>
      <c r="D81" s="35">
        <v>0</v>
      </c>
      <c r="E81" s="35">
        <v>0.14349999999999999</v>
      </c>
      <c r="F81" s="35">
        <v>3.0092592592592601E-2</v>
      </c>
      <c r="G81" s="35">
        <v>0</v>
      </c>
      <c r="H81" s="36">
        <f t="shared" si="11"/>
        <v>2.8932098765432096E-2</v>
      </c>
      <c r="I81" s="36">
        <f t="shared" si="12"/>
        <v>2.5726277777777778E-2</v>
      </c>
      <c r="J81" s="37">
        <v>394</v>
      </c>
      <c r="K81" s="38">
        <f t="shared" si="13"/>
        <v>6.5295121263395375</v>
      </c>
      <c r="L81" s="39">
        <v>300</v>
      </c>
      <c r="M81" s="57">
        <f t="shared" si="14"/>
        <v>8.5754259259259253</v>
      </c>
    </row>
    <row r="82" spans="1:13" ht="15.75" thickBot="1" x14ac:dyDescent="0.3">
      <c r="A82" s="46" t="s">
        <v>316</v>
      </c>
      <c r="B82" s="35">
        <v>0</v>
      </c>
      <c r="C82" s="35">
        <v>2.4510416666666701E-2</v>
      </c>
      <c r="D82" s="35">
        <v>9.6000000000000002E-2</v>
      </c>
      <c r="E82" s="35">
        <v>0</v>
      </c>
      <c r="F82" s="35">
        <v>4.1666666666666701E-3</v>
      </c>
      <c r="G82" s="35">
        <v>0</v>
      </c>
      <c r="H82" s="47">
        <f t="shared" si="11"/>
        <v>2.0779513888888896E-2</v>
      </c>
      <c r="I82" s="47">
        <f t="shared" si="12"/>
        <v>2.5287645833333341E-2</v>
      </c>
      <c r="J82" s="48">
        <v>500</v>
      </c>
      <c r="K82" s="49">
        <f t="shared" si="13"/>
        <v>5.0575291666666677</v>
      </c>
      <c r="L82" s="39">
        <v>400</v>
      </c>
      <c r="M82" s="57">
        <f t="shared" si="14"/>
        <v>6.3219114583333349</v>
      </c>
    </row>
  </sheetData>
  <sortState ref="A48:H59">
    <sortCondition descending="1" ref="H48:H59"/>
  </sortState>
  <mergeCells count="6">
    <mergeCell ref="A69:K69"/>
    <mergeCell ref="A1:K1"/>
    <mergeCell ref="M2:M3"/>
    <mergeCell ref="A16:K16"/>
    <mergeCell ref="A31:K31"/>
    <mergeCell ref="A46:K46"/>
  </mergeCells>
  <conditionalFormatting sqref="B2:G2 B11:G11 B27:G27 B44:G44 B80:G80">
    <cfRule type="cellIs" dxfId="11" priority="57" operator="greaterThan">
      <formula>0.2</formula>
    </cfRule>
    <cfRule type="cellIs" dxfId="10" priority="58" operator="greaterThan">
      <formula>0.1</formula>
    </cfRule>
    <cfRule type="cellIs" dxfId="9" priority="59" operator="greaterThan">
      <formula>0</formula>
    </cfRule>
  </conditionalFormatting>
  <conditionalFormatting sqref="B3:G15 B17:G29 B32:G44 B70:G82">
    <cfRule type="cellIs" dxfId="8" priority="56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0"/>
  <sheetViews>
    <sheetView zoomScale="70" zoomScaleNormal="70" workbookViewId="0">
      <selection activeCell="L29" sqref="L29"/>
    </sheetView>
  </sheetViews>
  <sheetFormatPr defaultRowHeight="15" x14ac:dyDescent="0.25"/>
  <cols>
    <col min="10" max="10" width="9.5703125" bestFit="1" customWidth="1"/>
  </cols>
  <sheetData>
    <row r="1" spans="1:21" ht="15.75" thickBot="1" x14ac:dyDescent="0.3">
      <c r="A1" s="30" t="s">
        <v>309</v>
      </c>
      <c r="B1" s="31" t="s">
        <v>58</v>
      </c>
      <c r="C1" s="31" t="s">
        <v>59</v>
      </c>
      <c r="D1" s="31" t="s">
        <v>60</v>
      </c>
      <c r="E1" s="31" t="s">
        <v>61</v>
      </c>
      <c r="F1" s="31" t="s">
        <v>62</v>
      </c>
      <c r="G1" s="31" t="s">
        <v>63</v>
      </c>
      <c r="H1" s="32" t="s">
        <v>310</v>
      </c>
      <c r="I1" s="32" t="s">
        <v>311</v>
      </c>
      <c r="J1" s="32" t="s">
        <v>312</v>
      </c>
      <c r="K1" s="33" t="s">
        <v>313</v>
      </c>
    </row>
    <row r="2" spans="1:21" x14ac:dyDescent="0.25">
      <c r="A2" s="43" t="s">
        <v>314</v>
      </c>
      <c r="B2" s="35">
        <v>9.6149999999999999E-2</v>
      </c>
      <c r="C2" s="35">
        <v>0.14708333333333301</v>
      </c>
      <c r="D2" s="35">
        <v>0</v>
      </c>
      <c r="E2" s="35">
        <v>0</v>
      </c>
      <c r="F2" s="35">
        <v>0</v>
      </c>
      <c r="G2" s="35">
        <v>0</v>
      </c>
      <c r="H2" s="36">
        <f>SUMPRODUCT($P$4:$U$4,B2:G2)</f>
        <v>0.24323333333333302</v>
      </c>
      <c r="I2" s="36">
        <f>SUMPRODUCT($P$3:$U$3,B2:G2)</f>
        <v>5.0875266666666599E-2</v>
      </c>
      <c r="J2" s="37">
        <v>600</v>
      </c>
      <c r="K2" s="38">
        <f t="shared" ref="K2:K13" si="0">100000*I2/J2</f>
        <v>8.4792111111111002</v>
      </c>
      <c r="O2" s="100" t="s">
        <v>66</v>
      </c>
      <c r="P2" s="1" t="s">
        <v>58</v>
      </c>
      <c r="Q2" s="1" t="s">
        <v>59</v>
      </c>
      <c r="R2" s="1" t="s">
        <v>60</v>
      </c>
      <c r="S2" s="1" t="s">
        <v>61</v>
      </c>
      <c r="T2" s="1" t="s">
        <v>62</v>
      </c>
      <c r="U2" s="2" t="s">
        <v>63</v>
      </c>
    </row>
    <row r="3" spans="1:21" ht="15.75" thickBot="1" x14ac:dyDescent="0.3">
      <c r="A3" s="43" t="s">
        <v>315</v>
      </c>
      <c r="B3" s="35">
        <v>0</v>
      </c>
      <c r="C3" s="35">
        <v>0</v>
      </c>
      <c r="D3" s="35">
        <v>0</v>
      </c>
      <c r="E3" s="35">
        <v>0.14349999999999999</v>
      </c>
      <c r="F3" s="35">
        <v>3.0092592592592601E-2</v>
      </c>
      <c r="G3" s="35">
        <v>0</v>
      </c>
      <c r="H3" s="36">
        <f t="shared" ref="H3:H13" si="1">SUMPRODUCT($P$4:$U$4,B3:G3)</f>
        <v>0.17359259259259258</v>
      </c>
      <c r="I3" s="36">
        <f t="shared" ref="I3:I13" si="2">SUMPRODUCT($P$3:$U$3,B3:G3)</f>
        <v>2.5726277777777778E-2</v>
      </c>
      <c r="J3" s="37">
        <v>394</v>
      </c>
      <c r="K3" s="38">
        <f t="shared" si="0"/>
        <v>6.5295121263395375</v>
      </c>
      <c r="O3" s="101"/>
      <c r="P3" s="3">
        <v>0.214</v>
      </c>
      <c r="Q3" s="3">
        <v>0.20599999999999999</v>
      </c>
      <c r="R3" s="3">
        <v>0.20599999999999999</v>
      </c>
      <c r="S3" s="3">
        <v>0.156</v>
      </c>
      <c r="T3" s="3">
        <v>0.111</v>
      </c>
      <c r="U3" s="4">
        <v>0.107</v>
      </c>
    </row>
    <row r="4" spans="1:21" x14ac:dyDescent="0.25">
      <c r="A4" s="43" t="s">
        <v>316</v>
      </c>
      <c r="B4" s="35">
        <v>0</v>
      </c>
      <c r="C4" s="35">
        <v>2.4510416666666701E-2</v>
      </c>
      <c r="D4" s="35">
        <v>9.6000000000000002E-2</v>
      </c>
      <c r="E4" s="35">
        <v>0</v>
      </c>
      <c r="F4" s="35">
        <v>4.1666666666666701E-3</v>
      </c>
      <c r="G4" s="35">
        <v>0</v>
      </c>
      <c r="H4" s="36">
        <f t="shared" si="1"/>
        <v>0.12467708333333337</v>
      </c>
      <c r="I4" s="36">
        <f t="shared" si="2"/>
        <v>2.5287645833333341E-2</v>
      </c>
      <c r="J4" s="37">
        <v>500</v>
      </c>
      <c r="K4" s="38">
        <f t="shared" si="0"/>
        <v>5.0575291666666677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</row>
    <row r="5" spans="1:21" x14ac:dyDescent="0.25">
      <c r="A5" s="43" t="s">
        <v>317</v>
      </c>
      <c r="B5" s="35">
        <v>0</v>
      </c>
      <c r="C5" s="35">
        <v>4.90083333333333E-2</v>
      </c>
      <c r="D5" s="35">
        <v>3.168E-2</v>
      </c>
      <c r="E5" s="35">
        <v>0.38440000000000002</v>
      </c>
      <c r="F5" s="35">
        <v>0</v>
      </c>
      <c r="G5" s="35">
        <v>0.34763333333333302</v>
      </c>
      <c r="H5" s="36">
        <f t="shared" si="1"/>
        <v>0.81272166666666634</v>
      </c>
      <c r="I5" s="36">
        <f t="shared" si="2"/>
        <v>0.11378496333333329</v>
      </c>
      <c r="J5" s="37">
        <v>800</v>
      </c>
      <c r="K5" s="38">
        <f t="shared" si="0"/>
        <v>14.223120416666662</v>
      </c>
    </row>
    <row r="6" spans="1:21" x14ac:dyDescent="0.25">
      <c r="A6" s="43" t="s">
        <v>318</v>
      </c>
      <c r="B6" s="35">
        <v>0</v>
      </c>
      <c r="C6" s="35">
        <v>0</v>
      </c>
      <c r="D6" s="35">
        <v>0.14000000000000001</v>
      </c>
      <c r="E6" s="35">
        <v>3.5999999999999997E-2</v>
      </c>
      <c r="F6" s="35">
        <v>0.224236111111111</v>
      </c>
      <c r="G6" s="35">
        <v>0</v>
      </c>
      <c r="H6" s="36">
        <f t="shared" si="1"/>
        <v>0.40023611111111101</v>
      </c>
      <c r="I6" s="36">
        <f t="shared" si="2"/>
        <v>5.9346208333333317E-2</v>
      </c>
      <c r="J6" s="37">
        <v>1276</v>
      </c>
      <c r="K6" s="38">
        <f t="shared" si="0"/>
        <v>4.6509567659352129</v>
      </c>
    </row>
    <row r="7" spans="1:21" x14ac:dyDescent="0.25">
      <c r="A7" s="43" t="s">
        <v>319</v>
      </c>
      <c r="B7" s="35">
        <v>0</v>
      </c>
      <c r="C7" s="35">
        <v>5.8825000000000002E-2</v>
      </c>
      <c r="D7" s="35">
        <v>0.14399999999999999</v>
      </c>
      <c r="E7" s="35">
        <v>1.1849999999999999E-2</v>
      </c>
      <c r="F7" s="35">
        <v>4.1666666666666701E-3</v>
      </c>
      <c r="G7" s="35">
        <v>7.5999999999999998E-2</v>
      </c>
      <c r="H7" s="36">
        <f t="shared" si="1"/>
        <v>0.29484166666666667</v>
      </c>
      <c r="I7" s="36">
        <f t="shared" si="2"/>
        <v>5.2225049999999995E-2</v>
      </c>
      <c r="J7" s="37">
        <v>607</v>
      </c>
      <c r="K7" s="38">
        <f t="shared" si="0"/>
        <v>8.6037973640856666</v>
      </c>
    </row>
    <row r="8" spans="1:21" x14ac:dyDescent="0.25">
      <c r="A8" s="43" t="s">
        <v>320</v>
      </c>
      <c r="B8" s="35">
        <v>0</v>
      </c>
      <c r="C8" s="35">
        <v>0.11078708333333299</v>
      </c>
      <c r="D8" s="35">
        <v>0.24</v>
      </c>
      <c r="E8" s="35">
        <v>8.1625000000000003E-2</v>
      </c>
      <c r="F8" s="35">
        <v>3.4259259259259302E-2</v>
      </c>
      <c r="G8" s="35">
        <v>0.25284000000000001</v>
      </c>
      <c r="H8" s="36">
        <f t="shared" si="1"/>
        <v>0.71951134259259231</v>
      </c>
      <c r="I8" s="36">
        <f t="shared" si="2"/>
        <v>0.11585229694444438</v>
      </c>
      <c r="J8" s="37">
        <v>1680</v>
      </c>
      <c r="K8" s="38">
        <f t="shared" si="0"/>
        <v>6.8959700562169264</v>
      </c>
    </row>
    <row r="9" spans="1:21" x14ac:dyDescent="0.25">
      <c r="A9" s="43" t="s">
        <v>70</v>
      </c>
      <c r="B9" s="35">
        <v>9.6166666666666692E-3</v>
      </c>
      <c r="C9" s="35">
        <v>5.0981666666666703E-2</v>
      </c>
      <c r="D9" s="35">
        <v>0.28000000000000003</v>
      </c>
      <c r="E9" s="35">
        <v>3.3875000000000002E-2</v>
      </c>
      <c r="F9" s="35">
        <v>0.234953703703704</v>
      </c>
      <c r="G9" s="35">
        <v>0.24759999999999999</v>
      </c>
      <c r="H9" s="36">
        <f t="shared" si="1"/>
        <v>0.85702703703703742</v>
      </c>
      <c r="I9" s="36">
        <f t="shared" si="2"/>
        <v>0.12809775111111116</v>
      </c>
      <c r="J9" s="37">
        <v>452</v>
      </c>
      <c r="K9" s="38">
        <f t="shared" si="0"/>
        <v>28.340210422812202</v>
      </c>
    </row>
    <row r="10" spans="1:21" x14ac:dyDescent="0.25">
      <c r="A10" s="43" t="s">
        <v>321</v>
      </c>
      <c r="B10" s="35">
        <v>0</v>
      </c>
      <c r="C10" s="35">
        <v>2.9399999999999999E-2</v>
      </c>
      <c r="D10" s="35">
        <v>0</v>
      </c>
      <c r="E10" s="35">
        <v>0.1225</v>
      </c>
      <c r="F10" s="35">
        <v>0</v>
      </c>
      <c r="G10" s="35">
        <v>0.28599999999999998</v>
      </c>
      <c r="H10" s="36">
        <f t="shared" si="1"/>
        <v>0.43789999999999996</v>
      </c>
      <c r="I10" s="36">
        <f t="shared" si="2"/>
        <v>5.5768399999999996E-2</v>
      </c>
      <c r="J10" s="37">
        <v>471</v>
      </c>
      <c r="K10" s="38">
        <f t="shared" si="0"/>
        <v>11.840424628450105</v>
      </c>
    </row>
    <row r="11" spans="1:21" x14ac:dyDescent="0.25">
      <c r="A11" s="43" t="s">
        <v>323</v>
      </c>
      <c r="B11" s="35">
        <v>0</v>
      </c>
      <c r="C11" s="35">
        <v>8.6276666666666696E-2</v>
      </c>
      <c r="D11" s="35">
        <v>0.14399999999999999</v>
      </c>
      <c r="E11" s="35">
        <v>8.1625000000000003E-2</v>
      </c>
      <c r="F11" s="35">
        <v>3.0092592592592601E-2</v>
      </c>
      <c r="G11" s="35">
        <v>0.17684</v>
      </c>
      <c r="H11" s="36">
        <f t="shared" si="1"/>
        <v>0.5188342592592593</v>
      </c>
      <c r="I11" s="36">
        <f t="shared" si="2"/>
        <v>8.2432651111111116E-2</v>
      </c>
      <c r="J11" s="37">
        <v>1100</v>
      </c>
      <c r="K11" s="38">
        <f t="shared" si="0"/>
        <v>7.4938773737373747</v>
      </c>
    </row>
    <row r="12" spans="1:21" x14ac:dyDescent="0.25">
      <c r="A12" s="43" t="s">
        <v>324</v>
      </c>
      <c r="B12" s="35">
        <v>9.1358333333333402E-2</v>
      </c>
      <c r="C12" s="35">
        <v>0.24510416666666701</v>
      </c>
      <c r="D12" s="35">
        <v>0.16800000000000001</v>
      </c>
      <c r="E12" s="35">
        <v>0</v>
      </c>
      <c r="F12" s="35">
        <v>4.6296296296296301E-2</v>
      </c>
      <c r="G12" s="35">
        <v>0</v>
      </c>
      <c r="H12" s="36">
        <f t="shared" si="1"/>
        <v>0.55075879629629676</v>
      </c>
      <c r="I12" s="36">
        <f t="shared" si="2"/>
        <v>0.10978903055555564</v>
      </c>
      <c r="J12" s="37">
        <v>1628</v>
      </c>
      <c r="K12" s="38">
        <f>100000*I12/J12</f>
        <v>6.7437979456729504</v>
      </c>
    </row>
    <row r="13" spans="1:21" ht="15.75" thickBot="1" x14ac:dyDescent="0.3">
      <c r="A13" s="46" t="s">
        <v>325</v>
      </c>
      <c r="B13" s="35">
        <v>0</v>
      </c>
      <c r="C13" s="35">
        <v>4.4118749999999998E-2</v>
      </c>
      <c r="D13" s="35">
        <v>0.14399999999999999</v>
      </c>
      <c r="E13" s="35">
        <v>0</v>
      </c>
      <c r="F13" s="35">
        <v>4.1666666666666701E-3</v>
      </c>
      <c r="G13" s="35">
        <v>7.5999999999999998E-2</v>
      </c>
      <c r="H13" s="36">
        <f t="shared" si="1"/>
        <v>0.26828541666666667</v>
      </c>
      <c r="I13" s="36">
        <f t="shared" si="2"/>
        <v>4.7346962499999992E-2</v>
      </c>
      <c r="J13" s="48">
        <v>580</v>
      </c>
      <c r="K13" s="49">
        <f t="shared" si="0"/>
        <v>8.1632693965517227</v>
      </c>
    </row>
    <row r="14" spans="1:21" ht="32.25" customHeight="1" x14ac:dyDescent="0.25"/>
    <row r="18" spans="1:11" x14ac:dyDescent="0.25">
      <c r="A18" s="30" t="s">
        <v>309</v>
      </c>
      <c r="B18" s="31" t="s">
        <v>58</v>
      </c>
      <c r="C18" s="31" t="s">
        <v>59</v>
      </c>
      <c r="D18" s="31" t="s">
        <v>60</v>
      </c>
      <c r="E18" s="31" t="s">
        <v>61</v>
      </c>
      <c r="F18" s="31" t="s">
        <v>62</v>
      </c>
      <c r="G18" s="31" t="s">
        <v>63</v>
      </c>
      <c r="H18" s="32" t="s">
        <v>310</v>
      </c>
      <c r="I18" s="32"/>
      <c r="J18" s="32"/>
      <c r="K18" s="33"/>
    </row>
    <row r="19" spans="1:11" x14ac:dyDescent="0.25">
      <c r="A19" s="43" t="s">
        <v>314</v>
      </c>
      <c r="B19" s="35">
        <f t="shared" ref="B19:G19" si="3">B2*P$3</f>
        <v>2.05761E-2</v>
      </c>
      <c r="C19" s="35">
        <f t="shared" si="3"/>
        <v>3.0299166666666599E-2</v>
      </c>
      <c r="D19" s="35">
        <f t="shared" si="3"/>
        <v>0</v>
      </c>
      <c r="E19" s="35">
        <f t="shared" si="3"/>
        <v>0</v>
      </c>
      <c r="F19" s="35">
        <f t="shared" si="3"/>
        <v>0</v>
      </c>
      <c r="G19" s="35">
        <f t="shared" si="3"/>
        <v>0</v>
      </c>
      <c r="H19" s="36">
        <f>SUM(B19:G19)</f>
        <v>5.0875266666666599E-2</v>
      </c>
      <c r="I19" s="36"/>
      <c r="J19" s="37"/>
      <c r="K19" s="38"/>
    </row>
    <row r="20" spans="1:11" x14ac:dyDescent="0.25">
      <c r="A20" s="43" t="s">
        <v>315</v>
      </c>
      <c r="B20" s="35">
        <f t="shared" ref="B20:B30" si="4">B3*P$3</f>
        <v>0</v>
      </c>
      <c r="C20" s="35">
        <f t="shared" ref="C20:C30" si="5">C3*Q$3</f>
        <v>0</v>
      </c>
      <c r="D20" s="35">
        <f t="shared" ref="D20:D30" si="6">D3*R$3</f>
        <v>0</v>
      </c>
      <c r="E20" s="35">
        <f t="shared" ref="E20:E30" si="7">E3*S$3</f>
        <v>2.2386E-2</v>
      </c>
      <c r="F20" s="35">
        <f t="shared" ref="F20:F30" si="8">F3*T$3</f>
        <v>3.3402777777777788E-3</v>
      </c>
      <c r="G20" s="35">
        <f t="shared" ref="G20:G30" si="9">G3*U$3</f>
        <v>0</v>
      </c>
      <c r="H20" s="36">
        <f t="shared" ref="H20:H30" si="10">SUM(B20:G20)</f>
        <v>2.5726277777777778E-2</v>
      </c>
      <c r="I20" s="36"/>
      <c r="J20" s="37"/>
      <c r="K20" s="38"/>
    </row>
    <row r="21" spans="1:11" x14ac:dyDescent="0.25">
      <c r="A21" s="43" t="s">
        <v>316</v>
      </c>
      <c r="B21" s="35">
        <f t="shared" si="4"/>
        <v>0</v>
      </c>
      <c r="C21" s="35">
        <f t="shared" si="5"/>
        <v>5.0491458333333404E-3</v>
      </c>
      <c r="D21" s="35">
        <f t="shared" si="6"/>
        <v>1.9775999999999998E-2</v>
      </c>
      <c r="E21" s="35">
        <f t="shared" si="7"/>
        <v>0</v>
      </c>
      <c r="F21" s="35">
        <f t="shared" si="8"/>
        <v>4.625000000000004E-4</v>
      </c>
      <c r="G21" s="35">
        <f t="shared" si="9"/>
        <v>0</v>
      </c>
      <c r="H21" s="36">
        <f t="shared" si="10"/>
        <v>2.5287645833333341E-2</v>
      </c>
      <c r="I21" s="36"/>
      <c r="J21" s="37"/>
      <c r="K21" s="38"/>
    </row>
    <row r="22" spans="1:11" x14ac:dyDescent="0.25">
      <c r="A22" s="43" t="s">
        <v>317</v>
      </c>
      <c r="B22" s="35">
        <f t="shared" si="4"/>
        <v>0</v>
      </c>
      <c r="C22" s="35">
        <f t="shared" si="5"/>
        <v>1.0095716666666659E-2</v>
      </c>
      <c r="D22" s="35">
        <f t="shared" si="6"/>
        <v>6.5260799999999992E-3</v>
      </c>
      <c r="E22" s="35">
        <f t="shared" si="7"/>
        <v>5.9966400000000003E-2</v>
      </c>
      <c r="F22" s="35">
        <f t="shared" si="8"/>
        <v>0</v>
      </c>
      <c r="G22" s="35">
        <f t="shared" si="9"/>
        <v>3.7196766666666631E-2</v>
      </c>
      <c r="H22" s="36">
        <f t="shared" si="10"/>
        <v>0.11378496333333329</v>
      </c>
      <c r="I22" s="36"/>
      <c r="J22" s="37"/>
      <c r="K22" s="38"/>
    </row>
    <row r="23" spans="1:11" x14ac:dyDescent="0.25">
      <c r="A23" s="43" t="s">
        <v>318</v>
      </c>
      <c r="B23" s="35">
        <f t="shared" si="4"/>
        <v>0</v>
      </c>
      <c r="C23" s="35">
        <f t="shared" si="5"/>
        <v>0</v>
      </c>
      <c r="D23" s="35">
        <f t="shared" si="6"/>
        <v>2.8840000000000001E-2</v>
      </c>
      <c r="E23" s="35">
        <f t="shared" si="7"/>
        <v>5.6159999999999995E-3</v>
      </c>
      <c r="F23" s="35">
        <f t="shared" si="8"/>
        <v>2.489020833333332E-2</v>
      </c>
      <c r="G23" s="35">
        <f t="shared" si="9"/>
        <v>0</v>
      </c>
      <c r="H23" s="36">
        <f t="shared" si="10"/>
        <v>5.9346208333333317E-2</v>
      </c>
      <c r="I23" s="36"/>
      <c r="J23" s="37"/>
      <c r="K23" s="38"/>
    </row>
    <row r="24" spans="1:11" x14ac:dyDescent="0.25">
      <c r="A24" s="43" t="s">
        <v>319</v>
      </c>
      <c r="B24" s="35">
        <f t="shared" si="4"/>
        <v>0</v>
      </c>
      <c r="C24" s="35">
        <f t="shared" si="5"/>
        <v>1.2117950000000001E-2</v>
      </c>
      <c r="D24" s="35">
        <f t="shared" si="6"/>
        <v>2.9663999999999996E-2</v>
      </c>
      <c r="E24" s="35">
        <f t="shared" si="7"/>
        <v>1.8485999999999999E-3</v>
      </c>
      <c r="F24" s="35">
        <f t="shared" si="8"/>
        <v>4.625000000000004E-4</v>
      </c>
      <c r="G24" s="35">
        <f t="shared" si="9"/>
        <v>8.1320000000000003E-3</v>
      </c>
      <c r="H24" s="36">
        <f t="shared" si="10"/>
        <v>5.2225049999999995E-2</v>
      </c>
      <c r="I24" s="36"/>
      <c r="J24" s="37"/>
      <c r="K24" s="38"/>
    </row>
    <row r="25" spans="1:11" x14ac:dyDescent="0.25">
      <c r="A25" s="43" t="s">
        <v>320</v>
      </c>
      <c r="B25" s="35">
        <f t="shared" si="4"/>
        <v>0</v>
      </c>
      <c r="C25" s="35">
        <f t="shared" si="5"/>
        <v>2.2822139166666595E-2</v>
      </c>
      <c r="D25" s="35">
        <f t="shared" si="6"/>
        <v>4.9439999999999998E-2</v>
      </c>
      <c r="E25" s="35">
        <f t="shared" si="7"/>
        <v>1.27335E-2</v>
      </c>
      <c r="F25" s="35">
        <f t="shared" si="8"/>
        <v>3.8027777777777825E-3</v>
      </c>
      <c r="G25" s="35">
        <f t="shared" si="9"/>
        <v>2.7053879999999999E-2</v>
      </c>
      <c r="H25" s="36">
        <f t="shared" si="10"/>
        <v>0.11585229694444438</v>
      </c>
      <c r="I25" s="36"/>
      <c r="J25" s="37"/>
      <c r="K25" s="38"/>
    </row>
    <row r="26" spans="1:11" x14ac:dyDescent="0.25">
      <c r="A26" s="43" t="s">
        <v>70</v>
      </c>
      <c r="B26" s="35">
        <f t="shared" si="4"/>
        <v>2.0579666666666672E-3</v>
      </c>
      <c r="C26" s="35">
        <f t="shared" si="5"/>
        <v>1.050222333333334E-2</v>
      </c>
      <c r="D26" s="35">
        <f t="shared" si="6"/>
        <v>5.7680000000000002E-2</v>
      </c>
      <c r="E26" s="35">
        <f t="shared" si="7"/>
        <v>5.2845000000000001E-3</v>
      </c>
      <c r="F26" s="35">
        <f t="shared" si="8"/>
        <v>2.6079861111111144E-2</v>
      </c>
      <c r="G26" s="35">
        <f t="shared" si="9"/>
        <v>2.6493199999999998E-2</v>
      </c>
      <c r="H26" s="36">
        <f t="shared" si="10"/>
        <v>0.12809775111111116</v>
      </c>
      <c r="I26" s="36"/>
      <c r="J26" s="37"/>
      <c r="K26" s="38"/>
    </row>
    <row r="27" spans="1:11" x14ac:dyDescent="0.25">
      <c r="A27" s="43" t="s">
        <v>321</v>
      </c>
      <c r="B27" s="35">
        <f t="shared" si="4"/>
        <v>0</v>
      </c>
      <c r="C27" s="35">
        <f t="shared" si="5"/>
        <v>6.0563999999999991E-3</v>
      </c>
      <c r="D27" s="35">
        <f t="shared" si="6"/>
        <v>0</v>
      </c>
      <c r="E27" s="35">
        <f t="shared" si="7"/>
        <v>1.9109999999999999E-2</v>
      </c>
      <c r="F27" s="35">
        <f t="shared" si="8"/>
        <v>0</v>
      </c>
      <c r="G27" s="35">
        <f t="shared" si="9"/>
        <v>3.0601999999999997E-2</v>
      </c>
      <c r="H27" s="36">
        <f t="shared" si="10"/>
        <v>5.5768399999999996E-2</v>
      </c>
      <c r="I27" s="36"/>
      <c r="J27" s="37"/>
      <c r="K27" s="38"/>
    </row>
    <row r="28" spans="1:11" x14ac:dyDescent="0.25">
      <c r="A28" s="43" t="s">
        <v>323</v>
      </c>
      <c r="B28" s="35">
        <f t="shared" si="4"/>
        <v>0</v>
      </c>
      <c r="C28" s="35">
        <f t="shared" si="5"/>
        <v>1.7772993333333337E-2</v>
      </c>
      <c r="D28" s="35">
        <f t="shared" si="6"/>
        <v>2.9663999999999996E-2</v>
      </c>
      <c r="E28" s="35">
        <f t="shared" si="7"/>
        <v>1.27335E-2</v>
      </c>
      <c r="F28" s="35">
        <f t="shared" si="8"/>
        <v>3.3402777777777788E-3</v>
      </c>
      <c r="G28" s="35">
        <f t="shared" si="9"/>
        <v>1.8921879999999999E-2</v>
      </c>
      <c r="H28" s="36">
        <f t="shared" si="10"/>
        <v>8.2432651111111116E-2</v>
      </c>
      <c r="I28" s="36"/>
      <c r="J28" s="37"/>
      <c r="K28" s="38"/>
    </row>
    <row r="29" spans="1:11" x14ac:dyDescent="0.25">
      <c r="A29" s="43" t="s">
        <v>324</v>
      </c>
      <c r="B29" s="35">
        <f t="shared" si="4"/>
        <v>1.9550683333333346E-2</v>
      </c>
      <c r="C29" s="35">
        <f t="shared" si="5"/>
        <v>5.0491458333333399E-2</v>
      </c>
      <c r="D29" s="35">
        <f t="shared" si="6"/>
        <v>3.4608E-2</v>
      </c>
      <c r="E29" s="35">
        <f t="shared" si="7"/>
        <v>0</v>
      </c>
      <c r="F29" s="35">
        <f t="shared" si="8"/>
        <v>5.138888888888889E-3</v>
      </c>
      <c r="G29" s="35">
        <f t="shared" si="9"/>
        <v>0</v>
      </c>
      <c r="H29" s="36">
        <f t="shared" si="10"/>
        <v>0.10978903055555564</v>
      </c>
      <c r="I29" s="36"/>
      <c r="J29" s="37"/>
      <c r="K29" s="38"/>
    </row>
    <row r="30" spans="1:11" ht="15.75" thickBot="1" x14ac:dyDescent="0.3">
      <c r="A30" s="46" t="s">
        <v>325</v>
      </c>
      <c r="B30" s="35">
        <f t="shared" si="4"/>
        <v>0</v>
      </c>
      <c r="C30" s="35">
        <f t="shared" si="5"/>
        <v>9.0884624999999983E-3</v>
      </c>
      <c r="D30" s="35">
        <f t="shared" si="6"/>
        <v>2.9663999999999996E-2</v>
      </c>
      <c r="E30" s="35">
        <f t="shared" si="7"/>
        <v>0</v>
      </c>
      <c r="F30" s="35">
        <f t="shared" si="8"/>
        <v>4.625000000000004E-4</v>
      </c>
      <c r="G30" s="35">
        <f t="shared" si="9"/>
        <v>8.1320000000000003E-3</v>
      </c>
      <c r="H30" s="36">
        <f t="shared" si="10"/>
        <v>4.7346962499999992E-2</v>
      </c>
      <c r="I30" s="36"/>
      <c r="J30" s="48"/>
      <c r="K30" s="49"/>
    </row>
  </sheetData>
  <sortState ref="A17:K28">
    <sortCondition descending="1" ref="H17:H28"/>
  </sortState>
  <mergeCells count="1">
    <mergeCell ref="O2:O3"/>
  </mergeCells>
  <conditionalFormatting sqref="B1:G1 B10:G10">
    <cfRule type="cellIs" dxfId="7" priority="10" operator="greaterThan">
      <formula>0.2</formula>
    </cfRule>
    <cfRule type="cellIs" dxfId="6" priority="11" operator="greaterThan">
      <formula>0.1</formula>
    </cfRule>
    <cfRule type="cellIs" dxfId="5" priority="12" operator="greaterThan">
      <formula>0</formula>
    </cfRule>
  </conditionalFormatting>
  <conditionalFormatting sqref="B2:G13">
    <cfRule type="cellIs" dxfId="4" priority="9" operator="greaterThan">
      <formula>0</formula>
    </cfRule>
  </conditionalFormatting>
  <conditionalFormatting sqref="B18:G18 B27:G27">
    <cfRule type="cellIs" dxfId="3" priority="2" operator="greaterThan">
      <formula>0.2</formula>
    </cfRule>
    <cfRule type="cellIs" dxfId="2" priority="3" operator="greaterThan">
      <formula>0.1</formula>
    </cfRule>
    <cfRule type="cellIs" dxfId="1" priority="4" operator="greaterThan">
      <formula>0</formula>
    </cfRule>
  </conditionalFormatting>
  <conditionalFormatting sqref="B19:G30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14"/>
  <sheetViews>
    <sheetView zoomScale="70" zoomScaleNormal="70" workbookViewId="0">
      <selection activeCell="K13" sqref="K13"/>
    </sheetView>
  </sheetViews>
  <sheetFormatPr defaultRowHeight="15" x14ac:dyDescent="0.25"/>
  <sheetData>
    <row r="1" spans="1:9" x14ac:dyDescent="0.25">
      <c r="A1" t="s">
        <v>309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331</v>
      </c>
    </row>
    <row r="2" spans="1:9" x14ac:dyDescent="0.25">
      <c r="A2" t="s">
        <v>70</v>
      </c>
      <c r="B2" s="51">
        <v>2.0579666666666672E-3</v>
      </c>
      <c r="C2" s="51">
        <v>1.050222333333334E-2</v>
      </c>
      <c r="D2" s="51">
        <v>5.7680000000000002E-2</v>
      </c>
      <c r="E2" s="51">
        <v>5.2845000000000001E-3</v>
      </c>
      <c r="F2" s="51">
        <v>2.6079861111111144E-2</v>
      </c>
      <c r="G2" s="51">
        <v>2.6493199999999998E-2</v>
      </c>
      <c r="H2" s="51">
        <v>0.12809775111111116</v>
      </c>
    </row>
    <row r="3" spans="1:9" x14ac:dyDescent="0.25">
      <c r="A3" t="s">
        <v>320</v>
      </c>
      <c r="B3" s="51">
        <v>0</v>
      </c>
      <c r="C3" s="51">
        <v>2.2822139166666595E-2</v>
      </c>
      <c r="D3" s="51">
        <v>4.9439999999999998E-2</v>
      </c>
      <c r="E3" s="51">
        <v>1.27335E-2</v>
      </c>
      <c r="F3" s="51">
        <v>3.8027777777777825E-3</v>
      </c>
      <c r="G3" s="51">
        <v>2.7053879999999999E-2</v>
      </c>
      <c r="H3" s="51">
        <v>0.11585229694444438</v>
      </c>
      <c r="I3" s="51"/>
    </row>
    <row r="4" spans="1:9" x14ac:dyDescent="0.25">
      <c r="A4" t="s">
        <v>317</v>
      </c>
      <c r="B4" s="51">
        <v>0</v>
      </c>
      <c r="C4" s="51">
        <v>1.0095716666666659E-2</v>
      </c>
      <c r="D4" s="51">
        <v>6.5260799999999992E-3</v>
      </c>
      <c r="E4" s="51">
        <v>5.9966400000000003E-2</v>
      </c>
      <c r="F4" s="51">
        <v>0</v>
      </c>
      <c r="G4" s="51">
        <v>3.7196766666666631E-2</v>
      </c>
      <c r="H4" s="51">
        <v>0.11378496333333329</v>
      </c>
      <c r="I4" s="51"/>
    </row>
    <row r="5" spans="1:9" x14ac:dyDescent="0.25">
      <c r="A5" t="s">
        <v>324</v>
      </c>
      <c r="B5" s="51">
        <v>1.9550683333333346E-2</v>
      </c>
      <c r="C5" s="51">
        <v>5.0491458333333399E-2</v>
      </c>
      <c r="D5" s="51">
        <v>3.4608E-2</v>
      </c>
      <c r="E5" s="51">
        <v>0</v>
      </c>
      <c r="F5" s="51">
        <v>5.138888888888889E-3</v>
      </c>
      <c r="G5" s="51">
        <v>0</v>
      </c>
      <c r="H5" s="51">
        <v>0.10978903055555564</v>
      </c>
      <c r="I5" s="51"/>
    </row>
    <row r="6" spans="1:9" x14ac:dyDescent="0.25">
      <c r="A6" t="s">
        <v>323</v>
      </c>
      <c r="B6" s="51">
        <v>0</v>
      </c>
      <c r="C6" s="51">
        <v>1.7772993333333337E-2</v>
      </c>
      <c r="D6" s="51">
        <v>2.9663999999999996E-2</v>
      </c>
      <c r="E6" s="51">
        <v>1.27335E-2</v>
      </c>
      <c r="F6" s="51">
        <v>3.3402777777777788E-3</v>
      </c>
      <c r="G6" s="51">
        <v>1.8921879999999999E-2</v>
      </c>
      <c r="H6" s="51">
        <v>8.2432651111111116E-2</v>
      </c>
      <c r="I6" s="51"/>
    </row>
    <row r="7" spans="1:9" x14ac:dyDescent="0.25">
      <c r="A7" t="s">
        <v>318</v>
      </c>
      <c r="B7" s="51">
        <v>0</v>
      </c>
      <c r="C7" s="51">
        <v>0</v>
      </c>
      <c r="D7" s="51">
        <v>2.8840000000000001E-2</v>
      </c>
      <c r="E7" s="51">
        <v>5.6159999999999995E-3</v>
      </c>
      <c r="F7" s="51">
        <v>2.489020833333332E-2</v>
      </c>
      <c r="G7" s="51">
        <v>0</v>
      </c>
      <c r="H7" s="51">
        <v>5.9346208333333317E-2</v>
      </c>
      <c r="I7" s="51"/>
    </row>
    <row r="8" spans="1:9" x14ac:dyDescent="0.25">
      <c r="A8" t="s">
        <v>321</v>
      </c>
      <c r="B8" s="51">
        <v>0</v>
      </c>
      <c r="C8" s="51">
        <v>6.0563999999999991E-3</v>
      </c>
      <c r="D8" s="51">
        <v>0</v>
      </c>
      <c r="E8" s="51">
        <v>1.9109999999999999E-2</v>
      </c>
      <c r="F8" s="51">
        <v>0</v>
      </c>
      <c r="G8" s="51">
        <v>3.0601999999999997E-2</v>
      </c>
      <c r="H8" s="51">
        <v>5.5768399999999996E-2</v>
      </c>
      <c r="I8" s="51"/>
    </row>
    <row r="9" spans="1:9" x14ac:dyDescent="0.25">
      <c r="A9" t="s">
        <v>319</v>
      </c>
      <c r="B9" s="51">
        <v>0</v>
      </c>
      <c r="C9" s="51">
        <v>1.2117950000000001E-2</v>
      </c>
      <c r="D9" s="51">
        <v>2.9663999999999996E-2</v>
      </c>
      <c r="E9" s="51">
        <v>1.8485999999999999E-3</v>
      </c>
      <c r="F9" s="51">
        <v>4.625000000000004E-4</v>
      </c>
      <c r="G9" s="51">
        <v>8.1320000000000003E-3</v>
      </c>
      <c r="H9" s="51">
        <v>5.2225049999999995E-2</v>
      </c>
      <c r="I9" s="51"/>
    </row>
    <row r="10" spans="1:9" x14ac:dyDescent="0.25">
      <c r="A10" t="s">
        <v>314</v>
      </c>
      <c r="B10">
        <v>2.05761E-2</v>
      </c>
      <c r="C10">
        <v>3.0299166666666599E-2</v>
      </c>
      <c r="D10">
        <v>0</v>
      </c>
      <c r="E10">
        <v>0</v>
      </c>
      <c r="F10">
        <v>0</v>
      </c>
      <c r="G10">
        <v>0</v>
      </c>
      <c r="H10" s="51">
        <v>5.0875266666666599E-2</v>
      </c>
      <c r="I10" s="51"/>
    </row>
    <row r="11" spans="1:9" x14ac:dyDescent="0.25">
      <c r="A11" t="s">
        <v>325</v>
      </c>
      <c r="B11" s="51">
        <v>0</v>
      </c>
      <c r="C11" s="51">
        <v>9.0884624999999983E-3</v>
      </c>
      <c r="D11" s="51">
        <v>2.9663999999999996E-2</v>
      </c>
      <c r="E11" s="51">
        <v>0</v>
      </c>
      <c r="F11" s="51">
        <v>4.625000000000004E-4</v>
      </c>
      <c r="G11" s="51">
        <v>8.1320000000000003E-3</v>
      </c>
      <c r="H11" s="51">
        <v>4.7346962499999992E-2</v>
      </c>
      <c r="I11" s="51"/>
    </row>
    <row r="12" spans="1:9" x14ac:dyDescent="0.25">
      <c r="A12" t="s">
        <v>315</v>
      </c>
      <c r="B12" s="51">
        <v>0</v>
      </c>
      <c r="C12" s="51">
        <v>0</v>
      </c>
      <c r="D12" s="51">
        <v>0</v>
      </c>
      <c r="E12" s="51">
        <v>2.2386E-2</v>
      </c>
      <c r="F12" s="51">
        <v>3.3402777777777788E-3</v>
      </c>
      <c r="G12" s="51">
        <v>0</v>
      </c>
      <c r="H12" s="51">
        <v>2.5726277777777778E-2</v>
      </c>
      <c r="I12" s="51"/>
    </row>
    <row r="13" spans="1:9" x14ac:dyDescent="0.25">
      <c r="A13" t="s">
        <v>316</v>
      </c>
      <c r="B13" s="51">
        <v>0</v>
      </c>
      <c r="C13" s="51">
        <v>5.0491458333333404E-3</v>
      </c>
      <c r="D13" s="51">
        <v>1.9775999999999998E-2</v>
      </c>
      <c r="E13" s="51">
        <v>0</v>
      </c>
      <c r="F13" s="51">
        <v>4.625000000000004E-4</v>
      </c>
      <c r="G13" s="51">
        <v>0</v>
      </c>
      <c r="H13" s="51">
        <v>2.5287645833333341E-2</v>
      </c>
      <c r="I13" s="51"/>
    </row>
    <row r="14" spans="1:9" x14ac:dyDescent="0.25">
      <c r="B14" s="51"/>
      <c r="C14" s="51"/>
      <c r="D14" s="51"/>
      <c r="E14" s="51"/>
      <c r="F14" s="51"/>
      <c r="G14" s="51"/>
      <c r="H14" s="51"/>
      <c r="I14" s="51"/>
    </row>
  </sheetData>
  <sortState ref="A2:H13">
    <sortCondition descending="1" ref="H2:H13"/>
  </sortState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18"/>
  <sheetViews>
    <sheetView topLeftCell="A7" zoomScale="85" zoomScaleNormal="85" workbookViewId="0">
      <selection activeCell="L9" sqref="L9"/>
    </sheetView>
  </sheetViews>
  <sheetFormatPr defaultRowHeight="15" x14ac:dyDescent="0.25"/>
  <cols>
    <col min="1" max="1" width="10.140625" bestFit="1" customWidth="1"/>
    <col min="2" max="2" width="12.28515625" bestFit="1" customWidth="1"/>
    <col min="3" max="3" width="14.7109375" bestFit="1" customWidth="1"/>
  </cols>
  <sheetData>
    <row r="1" spans="1:7" x14ac:dyDescent="0.25">
      <c r="A1" t="s">
        <v>69</v>
      </c>
      <c r="B1" t="s">
        <v>340</v>
      </c>
      <c r="C1" t="s">
        <v>341</v>
      </c>
      <c r="D1" t="s">
        <v>332</v>
      </c>
    </row>
    <row r="2" spans="1:7" x14ac:dyDescent="0.25">
      <c r="A2" s="43" t="s">
        <v>324</v>
      </c>
      <c r="B2" s="58">
        <v>800</v>
      </c>
      <c r="C2" s="59">
        <v>1628</v>
      </c>
      <c r="D2" s="44">
        <f>(C2-B2)/B2</f>
        <v>1.0349999999999999</v>
      </c>
      <c r="F2" t="s">
        <v>718</v>
      </c>
      <c r="G2" s="97">
        <f>AVERAGE(D2:D18)</f>
        <v>0.64168684909861373</v>
      </c>
    </row>
    <row r="3" spans="1:7" x14ac:dyDescent="0.25">
      <c r="A3" s="43" t="s">
        <v>328</v>
      </c>
      <c r="B3" s="58">
        <v>700</v>
      </c>
      <c r="C3" s="59">
        <v>1680</v>
      </c>
      <c r="D3" s="44">
        <f t="shared" ref="D3:D18" si="0">(C3-B3)/B3</f>
        <v>1.4</v>
      </c>
      <c r="F3" t="s">
        <v>719</v>
      </c>
      <c r="G3" s="44">
        <f>_xlfn.STDEV.S(D2:D18)</f>
        <v>0.5875290707040064</v>
      </c>
    </row>
    <row r="4" spans="1:7" x14ac:dyDescent="0.25">
      <c r="A4" s="43" t="s">
        <v>337</v>
      </c>
      <c r="B4" s="58">
        <v>650</v>
      </c>
      <c r="C4" s="60">
        <v>798</v>
      </c>
      <c r="D4" s="44">
        <f t="shared" si="0"/>
        <v>0.22769230769230769</v>
      </c>
      <c r="G4" s="44">
        <f>_xlfn.STDEV.P(D2:D18)</f>
        <v>0.56998692156084818</v>
      </c>
    </row>
    <row r="5" spans="1:7" x14ac:dyDescent="0.25">
      <c r="A5" s="43" t="s">
        <v>336</v>
      </c>
      <c r="B5" s="58">
        <v>600</v>
      </c>
      <c r="C5" s="60">
        <v>1037</v>
      </c>
      <c r="D5" s="44">
        <f t="shared" si="0"/>
        <v>0.72833333333333339</v>
      </c>
    </row>
    <row r="6" spans="1:7" x14ac:dyDescent="0.25">
      <c r="A6" s="43" t="s">
        <v>318</v>
      </c>
      <c r="B6" s="58">
        <v>550</v>
      </c>
      <c r="C6" s="59">
        <v>1276</v>
      </c>
      <c r="D6" s="44">
        <f t="shared" si="0"/>
        <v>1.32</v>
      </c>
    </row>
    <row r="7" spans="1:7" x14ac:dyDescent="0.25">
      <c r="A7" s="43" t="s">
        <v>335</v>
      </c>
      <c r="B7" s="58">
        <v>500</v>
      </c>
      <c r="C7" s="60">
        <v>512</v>
      </c>
      <c r="D7" s="44">
        <f t="shared" si="0"/>
        <v>2.4E-2</v>
      </c>
    </row>
    <row r="8" spans="1:7" x14ac:dyDescent="0.25">
      <c r="A8" s="43" t="s">
        <v>327</v>
      </c>
      <c r="B8" s="58">
        <v>450</v>
      </c>
      <c r="C8" s="59">
        <v>471</v>
      </c>
      <c r="D8" s="44">
        <f t="shared" si="0"/>
        <v>4.6666666666666669E-2</v>
      </c>
    </row>
    <row r="9" spans="1:7" x14ac:dyDescent="0.25">
      <c r="A9" s="43" t="s">
        <v>334</v>
      </c>
      <c r="B9" s="58">
        <v>450</v>
      </c>
      <c r="C9" s="60">
        <v>521</v>
      </c>
      <c r="D9" s="44">
        <f t="shared" si="0"/>
        <v>0.15777777777777777</v>
      </c>
    </row>
    <row r="10" spans="1:7" x14ac:dyDescent="0.25">
      <c r="A10" s="43" t="s">
        <v>317</v>
      </c>
      <c r="B10" s="58">
        <v>450</v>
      </c>
      <c r="C10" s="59">
        <v>800</v>
      </c>
      <c r="D10" s="44">
        <f t="shared" si="0"/>
        <v>0.77777777777777779</v>
      </c>
    </row>
    <row r="11" spans="1:7" x14ac:dyDescent="0.25">
      <c r="A11" s="43" t="s">
        <v>316</v>
      </c>
      <c r="B11" s="58">
        <v>400</v>
      </c>
      <c r="C11" s="59">
        <v>500</v>
      </c>
      <c r="D11" s="44">
        <f t="shared" si="0"/>
        <v>0.25</v>
      </c>
    </row>
    <row r="12" spans="1:7" x14ac:dyDescent="0.25">
      <c r="A12" s="43" t="s">
        <v>339</v>
      </c>
      <c r="B12" s="58">
        <v>350</v>
      </c>
      <c r="C12" s="58">
        <v>361</v>
      </c>
      <c r="D12" s="44">
        <f t="shared" si="0"/>
        <v>3.1428571428571431E-2</v>
      </c>
    </row>
    <row r="13" spans="1:7" x14ac:dyDescent="0.25">
      <c r="A13" s="43" t="s">
        <v>70</v>
      </c>
      <c r="B13" s="58">
        <v>300</v>
      </c>
      <c r="C13" s="59">
        <v>452</v>
      </c>
      <c r="D13" s="44">
        <f t="shared" si="0"/>
        <v>0.50666666666666671</v>
      </c>
    </row>
    <row r="14" spans="1:7" x14ac:dyDescent="0.25">
      <c r="A14" s="43" t="s">
        <v>319</v>
      </c>
      <c r="B14" s="58">
        <v>300</v>
      </c>
      <c r="C14" s="59">
        <v>607</v>
      </c>
      <c r="D14" s="44">
        <f t="shared" si="0"/>
        <v>1.0233333333333334</v>
      </c>
    </row>
    <row r="15" spans="1:7" x14ac:dyDescent="0.25">
      <c r="A15" s="43" t="s">
        <v>333</v>
      </c>
      <c r="B15" s="58">
        <v>300</v>
      </c>
      <c r="C15" s="60">
        <v>610</v>
      </c>
      <c r="D15" s="44">
        <f t="shared" si="0"/>
        <v>1.0333333333333334</v>
      </c>
    </row>
    <row r="16" spans="1:7" x14ac:dyDescent="0.25">
      <c r="A16" s="43" t="s">
        <v>315</v>
      </c>
      <c r="B16" s="58">
        <v>300</v>
      </c>
      <c r="C16" s="59">
        <v>394</v>
      </c>
      <c r="D16" s="44">
        <f t="shared" si="0"/>
        <v>0.31333333333333335</v>
      </c>
    </row>
    <row r="17" spans="1:4" x14ac:dyDescent="0.25">
      <c r="A17" s="43" t="s">
        <v>314</v>
      </c>
      <c r="B17" s="58">
        <v>200</v>
      </c>
      <c r="C17" s="59">
        <v>600</v>
      </c>
      <c r="D17" s="44">
        <f t="shared" si="0"/>
        <v>2</v>
      </c>
    </row>
    <row r="18" spans="1:4" x14ac:dyDescent="0.25">
      <c r="A18" s="43" t="s">
        <v>338</v>
      </c>
      <c r="B18" s="58">
        <v>150</v>
      </c>
      <c r="C18" s="58">
        <v>155</v>
      </c>
      <c r="D18" s="44">
        <f t="shared" si="0"/>
        <v>3.3333333333333333E-2</v>
      </c>
    </row>
  </sheetData>
  <sortState ref="A2:C18">
    <sortCondition descending="1" ref="B2:B18"/>
  </sortState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CLARREO</vt:lpstr>
      <vt:lpstr>SMAP</vt:lpstr>
      <vt:lpstr>ICESAT-II</vt:lpstr>
      <vt:lpstr>DESDYNI</vt:lpstr>
      <vt:lpstr>GPSRO</vt:lpstr>
      <vt:lpstr>HYSPIRI</vt:lpstr>
      <vt:lpstr>ASCENDS</vt:lpstr>
      <vt:lpstr>SWOT</vt:lpstr>
      <vt:lpstr>GEO-CAPE</vt:lpstr>
      <vt:lpstr>ACE</vt:lpstr>
      <vt:lpstr>XOVWM</vt:lpstr>
      <vt:lpstr>PATH</vt:lpstr>
      <vt:lpstr>SCLP</vt:lpstr>
      <vt:lpstr>GACM</vt:lpstr>
      <vt:lpstr>3DWINDS</vt:lpstr>
      <vt:lpstr>GRACE-II</vt:lpstr>
      <vt:lpstr>LIST</vt:lpstr>
      <vt:lpstr>New results</vt:lpstr>
      <vt:lpstr>Summary</vt:lpstr>
      <vt:lpstr>Sheet1</vt:lpstr>
      <vt:lpstr>Sheet2</vt:lpstr>
      <vt:lpstr>Mission costs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</dc:creator>
  <cp:lastModifiedBy>dani</cp:lastModifiedBy>
  <dcterms:created xsi:type="dcterms:W3CDTF">2011-08-04T13:55:14Z</dcterms:created>
  <dcterms:modified xsi:type="dcterms:W3CDTF">2011-11-06T16:41:58Z</dcterms:modified>
</cp:coreProperties>
</file>